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jaimaruthi-pc\share files\Qutotation 2026-2027\Jai MAruthi Scientific\"/>
    </mc:Choice>
  </mc:AlternateContent>
  <xr:revisionPtr revIDLastSave="0" documentId="13_ncr:1_{3F793A69-6B8F-458C-BA7E-4F2F0E128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3" i="2" l="1"/>
  <c r="G88" i="2"/>
  <c r="G87" i="2"/>
  <c r="G86" i="2"/>
  <c r="G17" i="2"/>
  <c r="I17" i="2" s="1"/>
  <c r="J17" i="2" s="1"/>
  <c r="L17" i="2" s="1"/>
  <c r="G18" i="2"/>
  <c r="I18" i="2" s="1"/>
  <c r="G19" i="2"/>
  <c r="I19" i="2" s="1"/>
  <c r="G20" i="2"/>
  <c r="I20" i="2" s="1"/>
  <c r="J20" i="2" s="1"/>
  <c r="L20" i="2" s="1"/>
  <c r="G21" i="2"/>
  <c r="I21" i="2" s="1"/>
  <c r="I88" i="2" l="1"/>
  <c r="I87" i="2"/>
  <c r="J87" i="2" s="1"/>
  <c r="I86" i="2"/>
  <c r="J21" i="2"/>
  <c r="L21" i="2" s="1"/>
  <c r="M20" i="2"/>
  <c r="J18" i="2"/>
  <c r="L18" i="2" s="1"/>
  <c r="J19" i="2"/>
  <c r="M17" i="2"/>
  <c r="G268" i="2"/>
  <c r="I268" i="2" s="1"/>
  <c r="J268" i="2" s="1"/>
  <c r="G262" i="2"/>
  <c r="I262" i="2" s="1"/>
  <c r="J262" i="2" s="1"/>
  <c r="G243" i="2"/>
  <c r="I243" i="2" s="1"/>
  <c r="G230" i="2"/>
  <c r="I230" i="2" s="1"/>
  <c r="J230" i="2" s="1"/>
  <c r="L230" i="2" s="1"/>
  <c r="M230" i="2" s="1"/>
  <c r="G229" i="2"/>
  <c r="I229" i="2" s="1"/>
  <c r="G228" i="2"/>
  <c r="I228" i="2" s="1"/>
  <c r="G227" i="2"/>
  <c r="I227" i="2" s="1"/>
  <c r="J227" i="2" s="1"/>
  <c r="L227" i="2" s="1"/>
  <c r="M227" i="2" s="1"/>
  <c r="G226" i="2"/>
  <c r="I226" i="2" s="1"/>
  <c r="J226" i="2" s="1"/>
  <c r="G225" i="2"/>
  <c r="I225" i="2" s="1"/>
  <c r="J225" i="2" s="1"/>
  <c r="G222" i="2"/>
  <c r="I222" i="2" s="1"/>
  <c r="J222" i="2" s="1"/>
  <c r="G215" i="2"/>
  <c r="I215" i="2" s="1"/>
  <c r="J215" i="2" s="1"/>
  <c r="G209" i="2"/>
  <c r="I209" i="2" s="1"/>
  <c r="J209" i="2" s="1"/>
  <c r="L209" i="2" s="1"/>
  <c r="M209" i="2" s="1"/>
  <c r="G204" i="2"/>
  <c r="I204" i="2" s="1"/>
  <c r="J204" i="2" s="1"/>
  <c r="G190" i="2"/>
  <c r="I190" i="2" s="1"/>
  <c r="G172" i="2"/>
  <c r="I172" i="2" s="1"/>
  <c r="J172" i="2" s="1"/>
  <c r="G169" i="2"/>
  <c r="I169" i="2" s="1"/>
  <c r="J169" i="2" s="1"/>
  <c r="L169" i="2" s="1"/>
  <c r="M169" i="2" s="1"/>
  <c r="G168" i="2"/>
  <c r="I168" i="2" s="1"/>
  <c r="G166" i="2"/>
  <c r="I166" i="2" s="1"/>
  <c r="G165" i="2"/>
  <c r="I165" i="2" s="1"/>
  <c r="G164" i="2"/>
  <c r="I164" i="2" s="1"/>
  <c r="G155" i="2"/>
  <c r="G139" i="2"/>
  <c r="G138" i="2"/>
  <c r="G137" i="2"/>
  <c r="I137" i="2" s="1"/>
  <c r="J137" i="2" s="1"/>
  <c r="G98" i="2"/>
  <c r="I98" i="2" s="1"/>
  <c r="G95" i="2"/>
  <c r="I95" i="2" s="1"/>
  <c r="J95" i="2" s="1"/>
  <c r="G93" i="2"/>
  <c r="I93" i="2" s="1"/>
  <c r="J93" i="2" s="1"/>
  <c r="G78" i="2"/>
  <c r="I78" i="2" s="1"/>
  <c r="G58" i="2"/>
  <c r="I58" i="2" s="1"/>
  <c r="G14" i="2"/>
  <c r="I14" i="2" s="1"/>
  <c r="J14" i="2" s="1"/>
  <c r="L14" i="2" s="1"/>
  <c r="G15" i="2"/>
  <c r="I15" i="2" s="1"/>
  <c r="G16" i="2"/>
  <c r="G22" i="2"/>
  <c r="G23" i="2"/>
  <c r="I23" i="2" s="1"/>
  <c r="G24" i="2"/>
  <c r="G25" i="2"/>
  <c r="I25" i="2" s="1"/>
  <c r="G26" i="2"/>
  <c r="G27" i="2"/>
  <c r="G28" i="2"/>
  <c r="G29" i="2"/>
  <c r="I29" i="2" s="1"/>
  <c r="G30" i="2"/>
  <c r="G31" i="2"/>
  <c r="G32" i="2"/>
  <c r="G33" i="2"/>
  <c r="I33" i="2" s="1"/>
  <c r="G34" i="2"/>
  <c r="G35" i="2"/>
  <c r="G36" i="2"/>
  <c r="G37" i="2"/>
  <c r="I37" i="2" s="1"/>
  <c r="G38" i="2"/>
  <c r="G39" i="2"/>
  <c r="G40" i="2"/>
  <c r="I40" i="2" s="1"/>
  <c r="G41" i="2"/>
  <c r="I41" i="2" s="1"/>
  <c r="G42" i="2"/>
  <c r="I42" i="2" s="1"/>
  <c r="G43" i="2"/>
  <c r="G44" i="2"/>
  <c r="G45" i="2"/>
  <c r="G46" i="2"/>
  <c r="I46" i="2" s="1"/>
  <c r="G47" i="2"/>
  <c r="I47" i="2" s="1"/>
  <c r="G48" i="2"/>
  <c r="I48" i="2" s="1"/>
  <c r="G49" i="2"/>
  <c r="I49" i="2" s="1"/>
  <c r="G50" i="2"/>
  <c r="I50" i="2" s="1"/>
  <c r="G51" i="2"/>
  <c r="G52" i="2"/>
  <c r="G53" i="2"/>
  <c r="I53" i="2" s="1"/>
  <c r="G54" i="2"/>
  <c r="G55" i="2"/>
  <c r="G56" i="2"/>
  <c r="I56" i="2" s="1"/>
  <c r="G57" i="2"/>
  <c r="G59" i="2"/>
  <c r="G60" i="2"/>
  <c r="G61" i="2"/>
  <c r="G62" i="2"/>
  <c r="I62" i="2" s="1"/>
  <c r="G63" i="2"/>
  <c r="G64" i="2"/>
  <c r="I64" i="2" s="1"/>
  <c r="G65" i="2"/>
  <c r="I65" i="2" s="1"/>
  <c r="G66" i="2"/>
  <c r="G67" i="2"/>
  <c r="G68" i="2"/>
  <c r="G69" i="2"/>
  <c r="I69" i="2" s="1"/>
  <c r="G70" i="2"/>
  <c r="I70" i="2" s="1"/>
  <c r="G71" i="2"/>
  <c r="I71" i="2" s="1"/>
  <c r="G72" i="2"/>
  <c r="I72" i="2" s="1"/>
  <c r="G73" i="2"/>
  <c r="I73" i="2" s="1"/>
  <c r="G74" i="2"/>
  <c r="G75" i="2"/>
  <c r="I75" i="2" s="1"/>
  <c r="G76" i="2"/>
  <c r="G77" i="2"/>
  <c r="G79" i="2"/>
  <c r="G80" i="2"/>
  <c r="G81" i="2"/>
  <c r="G82" i="2"/>
  <c r="G83" i="2"/>
  <c r="I83" i="2" s="1"/>
  <c r="G84" i="2"/>
  <c r="G85" i="2"/>
  <c r="G89" i="2"/>
  <c r="G90" i="2"/>
  <c r="I90" i="2" s="1"/>
  <c r="G91" i="2"/>
  <c r="I91" i="2" s="1"/>
  <c r="G92" i="2"/>
  <c r="G94" i="2"/>
  <c r="G96" i="2"/>
  <c r="G97" i="2"/>
  <c r="I97" i="2" s="1"/>
  <c r="G99" i="2"/>
  <c r="G100" i="2"/>
  <c r="I100" i="2" s="1"/>
  <c r="G101" i="2"/>
  <c r="I101" i="2" s="1"/>
  <c r="G102" i="2"/>
  <c r="G103" i="2"/>
  <c r="G104" i="2"/>
  <c r="G105" i="2"/>
  <c r="I105" i="2" s="1"/>
  <c r="G106" i="2"/>
  <c r="I106" i="2" s="1"/>
  <c r="G107" i="2"/>
  <c r="I107" i="2" s="1"/>
  <c r="G108" i="2"/>
  <c r="I108" i="2" s="1"/>
  <c r="G109" i="2"/>
  <c r="I109" i="2" s="1"/>
  <c r="G110" i="2"/>
  <c r="I110" i="2" s="1"/>
  <c r="J110" i="2" s="1"/>
  <c r="G111" i="2"/>
  <c r="G112" i="2"/>
  <c r="G113" i="2"/>
  <c r="G114" i="2"/>
  <c r="G115" i="2"/>
  <c r="G116" i="2"/>
  <c r="I116" i="2" s="1"/>
  <c r="G117" i="2"/>
  <c r="G118" i="2"/>
  <c r="G119" i="2"/>
  <c r="I119" i="2" s="1"/>
  <c r="G120" i="2"/>
  <c r="I120" i="2" s="1"/>
  <c r="G121" i="2"/>
  <c r="G122" i="2"/>
  <c r="I122" i="2" s="1"/>
  <c r="G123" i="2"/>
  <c r="G124" i="2"/>
  <c r="G125" i="2"/>
  <c r="I125" i="2" s="1"/>
  <c r="G126" i="2"/>
  <c r="I126" i="2" s="1"/>
  <c r="G127" i="2"/>
  <c r="I127" i="2" s="1"/>
  <c r="G128" i="2"/>
  <c r="I128" i="2" s="1"/>
  <c r="G129" i="2"/>
  <c r="I129" i="2" s="1"/>
  <c r="G130" i="2"/>
  <c r="G131" i="2"/>
  <c r="G132" i="2"/>
  <c r="I132" i="2" s="1"/>
  <c r="G133" i="2"/>
  <c r="G134" i="2"/>
  <c r="G135" i="2"/>
  <c r="I135" i="2" s="1"/>
  <c r="G136" i="2"/>
  <c r="I136" i="2" s="1"/>
  <c r="G140" i="2"/>
  <c r="I140" i="2" s="1"/>
  <c r="G141" i="2"/>
  <c r="I141" i="2" s="1"/>
  <c r="G142" i="2"/>
  <c r="I142" i="2" s="1"/>
  <c r="G143" i="2"/>
  <c r="I143" i="2" s="1"/>
  <c r="G144" i="2"/>
  <c r="G145" i="2"/>
  <c r="I145" i="2" s="1"/>
  <c r="G146" i="2"/>
  <c r="G147" i="2"/>
  <c r="I147" i="2" s="1"/>
  <c r="G148" i="2"/>
  <c r="I148" i="2" s="1"/>
  <c r="G149" i="2"/>
  <c r="G150" i="2"/>
  <c r="I150" i="2" s="1"/>
  <c r="G151" i="2"/>
  <c r="G152" i="2"/>
  <c r="I152" i="2" s="1"/>
  <c r="G154" i="2"/>
  <c r="I154" i="2" s="1"/>
  <c r="G156" i="2"/>
  <c r="I156" i="2" s="1"/>
  <c r="G157" i="2"/>
  <c r="I157" i="2" s="1"/>
  <c r="G158" i="2"/>
  <c r="I158" i="2" s="1"/>
  <c r="G159" i="2"/>
  <c r="G160" i="2"/>
  <c r="G161" i="2"/>
  <c r="I161" i="2" s="1"/>
  <c r="G162" i="2"/>
  <c r="I162" i="2" s="1"/>
  <c r="G163" i="2"/>
  <c r="G167" i="2"/>
  <c r="I167" i="2" s="1"/>
  <c r="G170" i="2"/>
  <c r="I170" i="2" s="1"/>
  <c r="G171" i="2"/>
  <c r="I171" i="2" s="1"/>
  <c r="G173" i="2"/>
  <c r="G174" i="2"/>
  <c r="G175" i="2"/>
  <c r="G176" i="2"/>
  <c r="G177" i="2"/>
  <c r="G178" i="2"/>
  <c r="I178" i="2" s="1"/>
  <c r="G179" i="2"/>
  <c r="I179" i="2" s="1"/>
  <c r="G180" i="2"/>
  <c r="I180" i="2" s="1"/>
  <c r="G181" i="2"/>
  <c r="I181" i="2" s="1"/>
  <c r="G182" i="2"/>
  <c r="I182" i="2" s="1"/>
  <c r="G183" i="2"/>
  <c r="G184" i="2"/>
  <c r="I184" i="2" s="1"/>
  <c r="G185" i="2"/>
  <c r="I185" i="2" s="1"/>
  <c r="G186" i="2"/>
  <c r="I186" i="2" s="1"/>
  <c r="G187" i="2"/>
  <c r="G188" i="2"/>
  <c r="G189" i="2"/>
  <c r="I189" i="2" s="1"/>
  <c r="G191" i="2"/>
  <c r="I191" i="2" s="1"/>
  <c r="G192" i="2"/>
  <c r="G193" i="2"/>
  <c r="G194" i="2"/>
  <c r="I194" i="2" s="1"/>
  <c r="G195" i="2"/>
  <c r="I195" i="2" s="1"/>
  <c r="G196" i="2"/>
  <c r="G197" i="2"/>
  <c r="I197" i="2" s="1"/>
  <c r="G198" i="2"/>
  <c r="G199" i="2"/>
  <c r="I199" i="2" s="1"/>
  <c r="G200" i="2"/>
  <c r="G201" i="2"/>
  <c r="I201" i="2" s="1"/>
  <c r="G202" i="2"/>
  <c r="I202" i="2" s="1"/>
  <c r="G203" i="2"/>
  <c r="I203" i="2" s="1"/>
  <c r="G205" i="2"/>
  <c r="G206" i="2"/>
  <c r="I206" i="2" s="1"/>
  <c r="G207" i="2"/>
  <c r="G208" i="2"/>
  <c r="I208" i="2" s="1"/>
  <c r="G210" i="2"/>
  <c r="I210" i="2" s="1"/>
  <c r="G211" i="2"/>
  <c r="G212" i="2"/>
  <c r="G213" i="2"/>
  <c r="I213" i="2" s="1"/>
  <c r="G214" i="2"/>
  <c r="G216" i="2"/>
  <c r="I216" i="2" s="1"/>
  <c r="G217" i="2"/>
  <c r="I217" i="2" s="1"/>
  <c r="G218" i="2"/>
  <c r="G219" i="2"/>
  <c r="I219" i="2" s="1"/>
  <c r="G220" i="2"/>
  <c r="I220" i="2" s="1"/>
  <c r="G221" i="2"/>
  <c r="I221" i="2" s="1"/>
  <c r="G223" i="2"/>
  <c r="I223" i="2" s="1"/>
  <c r="G224" i="2"/>
  <c r="I224" i="2" s="1"/>
  <c r="G231" i="2"/>
  <c r="G232" i="2"/>
  <c r="I232" i="2" s="1"/>
  <c r="G233" i="2"/>
  <c r="I233" i="2" s="1"/>
  <c r="G234" i="2"/>
  <c r="I234" i="2" s="1"/>
  <c r="G235" i="2"/>
  <c r="G236" i="2"/>
  <c r="I236" i="2" s="1"/>
  <c r="G237" i="2"/>
  <c r="I237" i="2" s="1"/>
  <c r="G238" i="2"/>
  <c r="I238" i="2" s="1"/>
  <c r="G239" i="2"/>
  <c r="I239" i="2" s="1"/>
  <c r="G240" i="2"/>
  <c r="G241" i="2"/>
  <c r="I241" i="2" s="1"/>
  <c r="G242" i="2"/>
  <c r="G244" i="2"/>
  <c r="G245" i="2"/>
  <c r="I245" i="2" s="1"/>
  <c r="G246" i="2"/>
  <c r="I246" i="2" s="1"/>
  <c r="G247" i="2"/>
  <c r="I247" i="2" s="1"/>
  <c r="G248" i="2"/>
  <c r="I248" i="2" s="1"/>
  <c r="G249" i="2"/>
  <c r="G250" i="2"/>
  <c r="I250" i="2" s="1"/>
  <c r="G251" i="2"/>
  <c r="I251" i="2" s="1"/>
  <c r="G252" i="2"/>
  <c r="G253" i="2"/>
  <c r="I253" i="2" s="1"/>
  <c r="G254" i="2"/>
  <c r="I254" i="2" s="1"/>
  <c r="G255" i="2"/>
  <c r="I255" i="2" s="1"/>
  <c r="G256" i="2"/>
  <c r="G257" i="2"/>
  <c r="G258" i="2"/>
  <c r="I258" i="2" s="1"/>
  <c r="J258" i="2" s="1"/>
  <c r="G259" i="2"/>
  <c r="G260" i="2"/>
  <c r="I260" i="2" s="1"/>
  <c r="G261" i="2"/>
  <c r="G263" i="2"/>
  <c r="I263" i="2" s="1"/>
  <c r="G264" i="2"/>
  <c r="I264" i="2" s="1"/>
  <c r="G265" i="2"/>
  <c r="G266" i="2"/>
  <c r="I266" i="2" s="1"/>
  <c r="G267" i="2"/>
  <c r="G269" i="2"/>
  <c r="I269" i="2" s="1"/>
  <c r="G270" i="2"/>
  <c r="I270" i="2" s="1"/>
  <c r="G271" i="2"/>
  <c r="G272" i="2"/>
  <c r="I272" i="2" s="1"/>
  <c r="G273" i="2"/>
  <c r="G274" i="2"/>
  <c r="J88" i="2" l="1"/>
  <c r="L87" i="2"/>
  <c r="J86" i="2"/>
  <c r="M21" i="2"/>
  <c r="M18" i="2"/>
  <c r="L19" i="2"/>
  <c r="M19" i="2" s="1"/>
  <c r="L268" i="2"/>
  <c r="M268" i="2" s="1"/>
  <c r="L262" i="2"/>
  <c r="M262" i="2" s="1"/>
  <c r="J229" i="2"/>
  <c r="L229" i="2" s="1"/>
  <c r="J243" i="2"/>
  <c r="L243" i="2" s="1"/>
  <c r="M243" i="2" s="1"/>
  <c r="J228" i="2"/>
  <c r="L228" i="2" s="1"/>
  <c r="M228" i="2" s="1"/>
  <c r="L226" i="2"/>
  <c r="M226" i="2" s="1"/>
  <c r="L225" i="2"/>
  <c r="M225" i="2" s="1"/>
  <c r="L222" i="2"/>
  <c r="M222" i="2" s="1"/>
  <c r="L215" i="2"/>
  <c r="M215" i="2" s="1"/>
  <c r="L204" i="2"/>
  <c r="M204" i="2" s="1"/>
  <c r="J190" i="2"/>
  <c r="L190" i="2" s="1"/>
  <c r="M190" i="2" s="1"/>
  <c r="L172" i="2"/>
  <c r="M172" i="2" s="1"/>
  <c r="J168" i="2"/>
  <c r="L168" i="2" s="1"/>
  <c r="M168" i="2" s="1"/>
  <c r="J164" i="2"/>
  <c r="L164" i="2" s="1"/>
  <c r="J166" i="2"/>
  <c r="L166" i="2" s="1"/>
  <c r="M166" i="2" s="1"/>
  <c r="J165" i="2"/>
  <c r="L165" i="2" s="1"/>
  <c r="M165" i="2" s="1"/>
  <c r="I155" i="2"/>
  <c r="J155" i="2" s="1"/>
  <c r="L137" i="2"/>
  <c r="M137" i="2" s="1"/>
  <c r="I139" i="2"/>
  <c r="J139" i="2" s="1"/>
  <c r="I138" i="2"/>
  <c r="J138" i="2" s="1"/>
  <c r="J98" i="2"/>
  <c r="L95" i="2"/>
  <c r="M95" i="2" s="1"/>
  <c r="J78" i="2"/>
  <c r="L78" i="2" s="1"/>
  <c r="L93" i="2"/>
  <c r="M93" i="2" s="1"/>
  <c r="J58" i="2"/>
  <c r="L58" i="2" s="1"/>
  <c r="M58" i="2" s="1"/>
  <c r="J246" i="2"/>
  <c r="L246" i="2" s="1"/>
  <c r="M246" i="2" s="1"/>
  <c r="J185" i="2"/>
  <c r="L185" i="2" s="1"/>
  <c r="M185" i="2" s="1"/>
  <c r="J254" i="2"/>
  <c r="L254" i="2" s="1"/>
  <c r="M254" i="2" s="1"/>
  <c r="J178" i="2"/>
  <c r="L178" i="2" s="1"/>
  <c r="M178" i="2" s="1"/>
  <c r="J147" i="2"/>
  <c r="L147" i="2" s="1"/>
  <c r="J109" i="2"/>
  <c r="L109" i="2" s="1"/>
  <c r="M109" i="2" s="1"/>
  <c r="J73" i="2"/>
  <c r="L73" i="2" s="1"/>
  <c r="J250" i="2"/>
  <c r="L250" i="2" s="1"/>
  <c r="M250" i="2" s="1"/>
  <c r="J237" i="2"/>
  <c r="L237" i="2" s="1"/>
  <c r="J167" i="2"/>
  <c r="L167" i="2" s="1"/>
  <c r="M167" i="2" s="1"/>
  <c r="J65" i="2"/>
  <c r="L65" i="2" s="1"/>
  <c r="M65" i="2" s="1"/>
  <c r="J269" i="2"/>
  <c r="L269" i="2" s="1"/>
  <c r="M269" i="2" s="1"/>
  <c r="I267" i="2"/>
  <c r="J267" i="2" s="1"/>
  <c r="L267" i="2" s="1"/>
  <c r="M267" i="2" s="1"/>
  <c r="J213" i="2"/>
  <c r="J156" i="2"/>
  <c r="L156" i="2" s="1"/>
  <c r="J203" i="2"/>
  <c r="L203" i="2" s="1"/>
  <c r="M203" i="2" s="1"/>
  <c r="J128" i="2"/>
  <c r="L128" i="2" s="1"/>
  <c r="M128" i="2" s="1"/>
  <c r="J272" i="2"/>
  <c r="L272" i="2" s="1"/>
  <c r="M272" i="2" s="1"/>
  <c r="J195" i="2"/>
  <c r="L195" i="2" s="1"/>
  <c r="M195" i="2" s="1"/>
  <c r="J120" i="2"/>
  <c r="L120" i="2" s="1"/>
  <c r="M120" i="2" s="1"/>
  <c r="J210" i="2"/>
  <c r="L210" i="2" s="1"/>
  <c r="J263" i="2"/>
  <c r="L263" i="2" s="1"/>
  <c r="M263" i="2" s="1"/>
  <c r="J186" i="2"/>
  <c r="J119" i="2"/>
  <c r="L119" i="2" s="1"/>
  <c r="M119" i="2" s="1"/>
  <c r="L110" i="2"/>
  <c r="M110" i="2" s="1"/>
  <c r="L258" i="2"/>
  <c r="M258" i="2" s="1"/>
  <c r="I187" i="2"/>
  <c r="J187" i="2" s="1"/>
  <c r="J148" i="2"/>
  <c r="I261" i="2"/>
  <c r="J261" i="2" s="1"/>
  <c r="J253" i="2"/>
  <c r="J140" i="2"/>
  <c r="J162" i="2"/>
  <c r="J91" i="2"/>
  <c r="J251" i="2"/>
  <c r="J224" i="2"/>
  <c r="J135" i="2"/>
  <c r="J101" i="2"/>
  <c r="J42" i="2"/>
  <c r="I273" i="2"/>
  <c r="J273" i="2" s="1"/>
  <c r="I196" i="2"/>
  <c r="J196" i="2" s="1"/>
  <c r="I113" i="2"/>
  <c r="J113" i="2" s="1"/>
  <c r="J69" i="2"/>
  <c r="I92" i="2"/>
  <c r="J92" i="2" s="1"/>
  <c r="I205" i="2"/>
  <c r="J205" i="2" s="1"/>
  <c r="J270" i="2"/>
  <c r="I252" i="2"/>
  <c r="J252" i="2" s="1"/>
  <c r="J220" i="2"/>
  <c r="I211" i="2"/>
  <c r="J211" i="2" s="1"/>
  <c r="I176" i="2"/>
  <c r="J176" i="2" s="1"/>
  <c r="J145" i="2"/>
  <c r="I134" i="2"/>
  <c r="J134" i="2" s="1"/>
  <c r="I102" i="2"/>
  <c r="J102" i="2" s="1"/>
  <c r="J33" i="2"/>
  <c r="I16" i="2"/>
  <c r="J16" i="2" s="1"/>
  <c r="I259" i="2"/>
  <c r="J259" i="2" s="1"/>
  <c r="J234" i="2"/>
  <c r="I183" i="2"/>
  <c r="J183" i="2" s="1"/>
  <c r="I175" i="2"/>
  <c r="J175" i="2" s="1"/>
  <c r="J161" i="2"/>
  <c r="J152" i="2"/>
  <c r="I144" i="2"/>
  <c r="J144" i="2" s="1"/>
  <c r="I133" i="2"/>
  <c r="J133" i="2" s="1"/>
  <c r="J125" i="2"/>
  <c r="J90" i="2"/>
  <c r="J56" i="2"/>
  <c r="J48" i="2"/>
  <c r="I32" i="2"/>
  <c r="J32" i="2" s="1"/>
  <c r="J15" i="2"/>
  <c r="I244" i="2"/>
  <c r="J244" i="2" s="1"/>
  <c r="I218" i="2"/>
  <c r="J218" i="2" s="1"/>
  <c r="I200" i="2"/>
  <c r="J200" i="2" s="1"/>
  <c r="I118" i="2"/>
  <c r="J118" i="2" s="1"/>
  <c r="I82" i="2"/>
  <c r="J82" i="2" s="1"/>
  <c r="J221" i="2"/>
  <c r="J202" i="2"/>
  <c r="J129" i="2"/>
  <c r="J100" i="2"/>
  <c r="J41" i="2"/>
  <c r="J238" i="2"/>
  <c r="I36" i="2"/>
  <c r="J36" i="2" s="1"/>
  <c r="I212" i="2"/>
  <c r="J212" i="2" s="1"/>
  <c r="I111" i="2"/>
  <c r="J111" i="2" s="1"/>
  <c r="I84" i="2"/>
  <c r="J84" i="2" s="1"/>
  <c r="I59" i="2"/>
  <c r="J59" i="2" s="1"/>
  <c r="I34" i="2"/>
  <c r="J34" i="2" s="1"/>
  <c r="J236" i="2"/>
  <c r="J179" i="2"/>
  <c r="J50" i="2"/>
  <c r="J260" i="2"/>
  <c r="J201" i="2"/>
  <c r="J184" i="2"/>
  <c r="J126" i="2"/>
  <c r="J83" i="2"/>
  <c r="I66" i="2"/>
  <c r="J66" i="2" s="1"/>
  <c r="J49" i="2"/>
  <c r="J25" i="2"/>
  <c r="J233" i="2"/>
  <c r="J208" i="2"/>
  <c r="J191" i="2"/>
  <c r="J182" i="2"/>
  <c r="I160" i="2"/>
  <c r="J160" i="2" s="1"/>
  <c r="J143" i="2"/>
  <c r="J132" i="2"/>
  <c r="I124" i="2"/>
  <c r="J124" i="2" s="1"/>
  <c r="J116" i="2"/>
  <c r="J108" i="2"/>
  <c r="I89" i="2"/>
  <c r="J89" i="2" s="1"/>
  <c r="J72" i="2"/>
  <c r="J64" i="2"/>
  <c r="I55" i="2"/>
  <c r="J55" i="2" s="1"/>
  <c r="J47" i="2"/>
  <c r="I31" i="2"/>
  <c r="J31" i="2" s="1"/>
  <c r="J23" i="2"/>
  <c r="I242" i="2"/>
  <c r="J242" i="2" s="1"/>
  <c r="I153" i="2"/>
  <c r="J153" i="2" s="1"/>
  <c r="I117" i="2"/>
  <c r="J117" i="2" s="1"/>
  <c r="I81" i="2"/>
  <c r="J81" i="2" s="1"/>
  <c r="I24" i="2"/>
  <c r="J24" i="2" s="1"/>
  <c r="J219" i="2"/>
  <c r="J199" i="2"/>
  <c r="J157" i="2"/>
  <c r="J40" i="2"/>
  <c r="J247" i="2"/>
  <c r="J170" i="2"/>
  <c r="J105" i="2"/>
  <c r="I77" i="2"/>
  <c r="J77" i="2" s="1"/>
  <c r="I52" i="2"/>
  <c r="J52" i="2" s="1"/>
  <c r="I28" i="2"/>
  <c r="J28" i="2" s="1"/>
  <c r="I177" i="2"/>
  <c r="J177" i="2" s="1"/>
  <c r="I146" i="2"/>
  <c r="J146" i="2" s="1"/>
  <c r="I103" i="2"/>
  <c r="J103" i="2" s="1"/>
  <c r="I67" i="2"/>
  <c r="J67" i="2" s="1"/>
  <c r="I240" i="2"/>
  <c r="J240" i="2" s="1"/>
  <c r="J217" i="2"/>
  <c r="J189" i="2"/>
  <c r="I173" i="2"/>
  <c r="J173" i="2" s="1"/>
  <c r="J142" i="2"/>
  <c r="I123" i="2"/>
  <c r="J123" i="2" s="1"/>
  <c r="I54" i="2"/>
  <c r="J54" i="2" s="1"/>
  <c r="I257" i="2"/>
  <c r="J257" i="2" s="1"/>
  <c r="I193" i="2"/>
  <c r="J193" i="2" s="1"/>
  <c r="I80" i="2"/>
  <c r="J80" i="2" s="1"/>
  <c r="I61" i="2"/>
  <c r="J61" i="2" s="1"/>
  <c r="J264" i="2"/>
  <c r="J245" i="2"/>
  <c r="J127" i="2"/>
  <c r="J75" i="2"/>
  <c r="J255" i="2"/>
  <c r="I121" i="2"/>
  <c r="J121" i="2" s="1"/>
  <c r="I44" i="2"/>
  <c r="J44" i="2" s="1"/>
  <c r="I271" i="2"/>
  <c r="J271" i="2" s="1"/>
  <c r="I163" i="2"/>
  <c r="J163" i="2" s="1"/>
  <c r="I26" i="2"/>
  <c r="J26" i="2" s="1"/>
  <c r="J266" i="2"/>
  <c r="I249" i="2"/>
  <c r="J249" i="2" s="1"/>
  <c r="J232" i="2"/>
  <c r="I207" i="2"/>
  <c r="J207" i="2" s="1"/>
  <c r="I198" i="2"/>
  <c r="J198" i="2" s="1"/>
  <c r="J181" i="2"/>
  <c r="I159" i="2"/>
  <c r="J159" i="2" s="1"/>
  <c r="J150" i="2"/>
  <c r="I131" i="2"/>
  <c r="J131" i="2" s="1"/>
  <c r="J107" i="2"/>
  <c r="I99" i="2"/>
  <c r="J99" i="2" s="1"/>
  <c r="J71" i="2"/>
  <c r="I63" i="2"/>
  <c r="J63" i="2" s="1"/>
  <c r="J46" i="2"/>
  <c r="I38" i="2"/>
  <c r="J38" i="2" s="1"/>
  <c r="I30" i="2"/>
  <c r="J30" i="2" s="1"/>
  <c r="I22" i="2"/>
  <c r="J22" i="2" s="1"/>
  <c r="I265" i="2"/>
  <c r="J265" i="2" s="1"/>
  <c r="J248" i="2"/>
  <c r="J239" i="2"/>
  <c r="I231" i="2"/>
  <c r="J231" i="2" s="1"/>
  <c r="J216" i="2"/>
  <c r="J206" i="2"/>
  <c r="J197" i="2"/>
  <c r="I188" i="2"/>
  <c r="J188" i="2" s="1"/>
  <c r="J180" i="2"/>
  <c r="J171" i="2"/>
  <c r="J158" i="2"/>
  <c r="I149" i="2"/>
  <c r="J149" i="2" s="1"/>
  <c r="J141" i="2"/>
  <c r="J122" i="2"/>
  <c r="I114" i="2"/>
  <c r="J114" i="2" s="1"/>
  <c r="J106" i="2"/>
  <c r="J97" i="2"/>
  <c r="I79" i="2"/>
  <c r="J79" i="2" s="1"/>
  <c r="J70" i="2"/>
  <c r="J62" i="2"/>
  <c r="J53" i="2"/>
  <c r="I45" i="2"/>
  <c r="J45" i="2" s="1"/>
  <c r="J37" i="2"/>
  <c r="J29" i="2"/>
  <c r="I274" i="2"/>
  <c r="J274" i="2" s="1"/>
  <c r="I256" i="2"/>
  <c r="J256" i="2" s="1"/>
  <c r="I235" i="2"/>
  <c r="J235" i="2" s="1"/>
  <c r="I214" i="2"/>
  <c r="J214" i="2" s="1"/>
  <c r="I192" i="2"/>
  <c r="J192" i="2" s="1"/>
  <c r="I174" i="2"/>
  <c r="J174" i="2" s="1"/>
  <c r="I151" i="2"/>
  <c r="J151" i="2" s="1"/>
  <c r="I130" i="2"/>
  <c r="J130" i="2" s="1"/>
  <c r="I115" i="2"/>
  <c r="J115" i="2" s="1"/>
  <c r="I96" i="2"/>
  <c r="J96" i="2" s="1"/>
  <c r="I74" i="2"/>
  <c r="J74" i="2" s="1"/>
  <c r="I57" i="2"/>
  <c r="J57" i="2" s="1"/>
  <c r="I39" i="2"/>
  <c r="J39" i="2" s="1"/>
  <c r="J241" i="2"/>
  <c r="J194" i="2"/>
  <c r="J154" i="2"/>
  <c r="I112" i="2"/>
  <c r="J112" i="2" s="1"/>
  <c r="I104" i="2"/>
  <c r="J104" i="2" s="1"/>
  <c r="I94" i="2"/>
  <c r="J94" i="2" s="1"/>
  <c r="I85" i="2"/>
  <c r="J85" i="2" s="1"/>
  <c r="I76" i="2"/>
  <c r="J76" i="2" s="1"/>
  <c r="I68" i="2"/>
  <c r="J68" i="2" s="1"/>
  <c r="I60" i="2"/>
  <c r="J60" i="2" s="1"/>
  <c r="I51" i="2"/>
  <c r="J51" i="2" s="1"/>
  <c r="I43" i="2"/>
  <c r="J43" i="2" s="1"/>
  <c r="I35" i="2"/>
  <c r="J35" i="2" s="1"/>
  <c r="I27" i="2"/>
  <c r="J27" i="2" s="1"/>
  <c r="J223" i="2"/>
  <c r="J136" i="2"/>
  <c r="M14" i="2"/>
  <c r="G13" i="2"/>
  <c r="L88" i="2" l="1"/>
  <c r="M87" i="2"/>
  <c r="L86" i="2"/>
  <c r="M86" i="2" s="1"/>
  <c r="M229" i="2"/>
  <c r="M164" i="2"/>
  <c r="L155" i="2"/>
  <c r="M155" i="2" s="1"/>
  <c r="L139" i="2"/>
  <c r="M139" i="2" s="1"/>
  <c r="L138" i="2"/>
  <c r="M138" i="2" s="1"/>
  <c r="L98" i="2"/>
  <c r="M98" i="2" s="1"/>
  <c r="M78" i="2"/>
  <c r="M147" i="2"/>
  <c r="M210" i="2"/>
  <c r="M73" i="2"/>
  <c r="L186" i="2"/>
  <c r="M186" i="2" s="1"/>
  <c r="M237" i="2"/>
  <c r="M156" i="2"/>
  <c r="L213" i="2"/>
  <c r="M213" i="2" s="1"/>
  <c r="L112" i="2"/>
  <c r="M112" i="2" s="1"/>
  <c r="L45" i="2"/>
  <c r="M45" i="2" s="1"/>
  <c r="L193" i="2"/>
  <c r="M193" i="2" s="1"/>
  <c r="L67" i="2"/>
  <c r="M67" i="2" s="1"/>
  <c r="L102" i="2"/>
  <c r="M102" i="2" s="1"/>
  <c r="L51" i="2"/>
  <c r="M51" i="2" s="1"/>
  <c r="L235" i="2"/>
  <c r="M235" i="2" s="1"/>
  <c r="L249" i="2"/>
  <c r="M249" i="2" s="1"/>
  <c r="L163" i="2"/>
  <c r="M163" i="2" s="1"/>
  <c r="L89" i="2"/>
  <c r="M89" i="2" s="1"/>
  <c r="L66" i="2"/>
  <c r="M66" i="2" s="1"/>
  <c r="L36" i="2"/>
  <c r="M36" i="2" s="1"/>
  <c r="L133" i="2"/>
  <c r="M133" i="2" s="1"/>
  <c r="L60" i="2"/>
  <c r="M60" i="2" s="1"/>
  <c r="L149" i="2"/>
  <c r="M149" i="2" s="1"/>
  <c r="L231" i="2"/>
  <c r="M231" i="2" s="1"/>
  <c r="L159" i="2"/>
  <c r="M159" i="2" s="1"/>
  <c r="L271" i="2"/>
  <c r="M271" i="2" s="1"/>
  <c r="L240" i="2"/>
  <c r="M240" i="2" s="1"/>
  <c r="L24" i="2"/>
  <c r="M24" i="2" s="1"/>
  <c r="L59" i="2"/>
  <c r="M59" i="2" s="1"/>
  <c r="L144" i="2"/>
  <c r="M144" i="2" s="1"/>
  <c r="L68" i="2"/>
  <c r="M68" i="2" s="1"/>
  <c r="L115" i="2"/>
  <c r="M115" i="2" s="1"/>
  <c r="L22" i="2"/>
  <c r="M22" i="2" s="1"/>
  <c r="L54" i="2"/>
  <c r="M54" i="2" s="1"/>
  <c r="L81" i="2"/>
  <c r="M81" i="2" s="1"/>
  <c r="L31" i="2"/>
  <c r="M31" i="2" s="1"/>
  <c r="L32" i="2"/>
  <c r="M32" i="2" s="1"/>
  <c r="L76" i="2"/>
  <c r="M76" i="2" s="1"/>
  <c r="L130" i="2"/>
  <c r="M130" i="2" s="1"/>
  <c r="L79" i="2"/>
  <c r="M79" i="2" s="1"/>
  <c r="L124" i="2"/>
  <c r="M124" i="2" s="1"/>
  <c r="L82" i="2"/>
  <c r="M82" i="2" s="1"/>
  <c r="L176" i="2"/>
  <c r="M176" i="2" s="1"/>
  <c r="L85" i="2"/>
  <c r="M85" i="2" s="1"/>
  <c r="L151" i="2"/>
  <c r="M151" i="2" s="1"/>
  <c r="L177" i="2"/>
  <c r="M177" i="2" s="1"/>
  <c r="L153" i="2"/>
  <c r="M153" i="2" s="1"/>
  <c r="L118" i="2"/>
  <c r="M118" i="2" s="1"/>
  <c r="L175" i="2"/>
  <c r="M175" i="2" s="1"/>
  <c r="L16" i="2"/>
  <c r="M16" i="2" s="1"/>
  <c r="L211" i="2"/>
  <c r="M211" i="2" s="1"/>
  <c r="L205" i="2"/>
  <c r="M205" i="2" s="1"/>
  <c r="L27" i="2"/>
  <c r="M27" i="2" s="1"/>
  <c r="L94" i="2"/>
  <c r="M94" i="2" s="1"/>
  <c r="L174" i="2"/>
  <c r="M174" i="2" s="1"/>
  <c r="L188" i="2"/>
  <c r="M188" i="2" s="1"/>
  <c r="L265" i="2"/>
  <c r="M265" i="2" s="1"/>
  <c r="L38" i="2"/>
  <c r="M38" i="2" s="1"/>
  <c r="L52" i="2"/>
  <c r="M52" i="2" s="1"/>
  <c r="L242" i="2"/>
  <c r="M242" i="2" s="1"/>
  <c r="L200" i="2"/>
  <c r="M200" i="2" s="1"/>
  <c r="L183" i="2"/>
  <c r="M183" i="2" s="1"/>
  <c r="L35" i="2"/>
  <c r="M35" i="2" s="1"/>
  <c r="L104" i="2"/>
  <c r="M104" i="2" s="1"/>
  <c r="L39" i="2"/>
  <c r="M39" i="2" s="1"/>
  <c r="L192" i="2"/>
  <c r="M192" i="2" s="1"/>
  <c r="L114" i="2"/>
  <c r="M114" i="2" s="1"/>
  <c r="L80" i="2"/>
  <c r="M80" i="2" s="1"/>
  <c r="L173" i="2"/>
  <c r="M173" i="2" s="1"/>
  <c r="L77" i="2"/>
  <c r="M77" i="2" s="1"/>
  <c r="L160" i="2"/>
  <c r="M160" i="2" s="1"/>
  <c r="L252" i="2"/>
  <c r="M252" i="2" s="1"/>
  <c r="L43" i="2"/>
  <c r="M43" i="2" s="1"/>
  <c r="L197" i="2"/>
  <c r="M197" i="2" s="1"/>
  <c r="L72" i="2"/>
  <c r="M72" i="2" s="1"/>
  <c r="L84" i="2"/>
  <c r="M84" i="2" s="1"/>
  <c r="L33" i="2"/>
  <c r="M33" i="2" s="1"/>
  <c r="L71" i="2"/>
  <c r="M71" i="2" s="1"/>
  <c r="L260" i="2"/>
  <c r="M260" i="2" s="1"/>
  <c r="L15" i="2"/>
  <c r="M15" i="2" s="1"/>
  <c r="L218" i="2"/>
  <c r="M218" i="2" s="1"/>
  <c r="L206" i="2"/>
  <c r="M206" i="2" s="1"/>
  <c r="L131" i="2"/>
  <c r="M131" i="2" s="1"/>
  <c r="L257" i="2"/>
  <c r="M257" i="2" s="1"/>
  <c r="L23" i="2"/>
  <c r="M23" i="2" s="1"/>
  <c r="L96" i="2"/>
  <c r="M96" i="2" s="1"/>
  <c r="L29" i="2"/>
  <c r="M29" i="2" s="1"/>
  <c r="L150" i="2"/>
  <c r="M150" i="2" s="1"/>
  <c r="L142" i="2"/>
  <c r="M142" i="2" s="1"/>
  <c r="L143" i="2"/>
  <c r="M143" i="2" s="1"/>
  <c r="L57" i="2"/>
  <c r="M57" i="2" s="1"/>
  <c r="L92" i="2"/>
  <c r="M92" i="2" s="1"/>
  <c r="L196" i="2"/>
  <c r="M196" i="2" s="1"/>
  <c r="L47" i="2"/>
  <c r="M47" i="2" s="1"/>
  <c r="L212" i="2"/>
  <c r="M212" i="2" s="1"/>
  <c r="L129" i="2"/>
  <c r="M129" i="2" s="1"/>
  <c r="L224" i="2"/>
  <c r="M224" i="2" s="1"/>
  <c r="L244" i="2"/>
  <c r="M244" i="2" s="1"/>
  <c r="L61" i="2"/>
  <c r="M61" i="2" s="1"/>
  <c r="L136" i="2"/>
  <c r="M136" i="2" s="1"/>
  <c r="L241" i="2"/>
  <c r="M241" i="2" s="1"/>
  <c r="L53" i="2"/>
  <c r="M53" i="2" s="1"/>
  <c r="L180" i="2"/>
  <c r="M180" i="2" s="1"/>
  <c r="L239" i="2"/>
  <c r="M239" i="2" s="1"/>
  <c r="L46" i="2"/>
  <c r="M46" i="2" s="1"/>
  <c r="L107" i="2"/>
  <c r="M107" i="2" s="1"/>
  <c r="L255" i="2"/>
  <c r="M255" i="2" s="1"/>
  <c r="L217" i="2"/>
  <c r="M217" i="2" s="1"/>
  <c r="L105" i="2"/>
  <c r="M105" i="2" s="1"/>
  <c r="L219" i="2"/>
  <c r="M219" i="2" s="1"/>
  <c r="L116" i="2"/>
  <c r="M116" i="2" s="1"/>
  <c r="L184" i="2"/>
  <c r="M184" i="2" s="1"/>
  <c r="L56" i="2"/>
  <c r="M56" i="2" s="1"/>
  <c r="L220" i="2"/>
  <c r="M220" i="2" s="1"/>
  <c r="L42" i="2"/>
  <c r="M42" i="2" s="1"/>
  <c r="L251" i="2"/>
  <c r="M251" i="2" s="1"/>
  <c r="L44" i="2"/>
  <c r="M44" i="2" s="1"/>
  <c r="L28" i="2"/>
  <c r="M28" i="2" s="1"/>
  <c r="L132" i="2"/>
  <c r="M132" i="2" s="1"/>
  <c r="L179" i="2"/>
  <c r="M179" i="2" s="1"/>
  <c r="L117" i="2"/>
  <c r="M117" i="2" s="1"/>
  <c r="L270" i="2"/>
  <c r="M270" i="2" s="1"/>
  <c r="L261" i="2"/>
  <c r="M261" i="2" s="1"/>
  <c r="I13" i="2"/>
  <c r="J13" i="2" s="1"/>
  <c r="L103" i="2"/>
  <c r="M103" i="2" s="1"/>
  <c r="L125" i="2"/>
  <c r="M125" i="2" s="1"/>
  <c r="L97" i="2"/>
  <c r="M97" i="2" s="1"/>
  <c r="L216" i="2"/>
  <c r="M216" i="2" s="1"/>
  <c r="L245" i="2"/>
  <c r="M245" i="2" s="1"/>
  <c r="L83" i="2"/>
  <c r="M83" i="2" s="1"/>
  <c r="L41" i="2"/>
  <c r="M41" i="2" s="1"/>
  <c r="L91" i="2"/>
  <c r="M91" i="2" s="1"/>
  <c r="L148" i="2"/>
  <c r="M148" i="2" s="1"/>
  <c r="L214" i="2"/>
  <c r="M214" i="2" s="1"/>
  <c r="L158" i="2"/>
  <c r="M158" i="2" s="1"/>
  <c r="L26" i="2"/>
  <c r="M26" i="2" s="1"/>
  <c r="L121" i="2"/>
  <c r="M121" i="2" s="1"/>
  <c r="L157" i="2"/>
  <c r="M157" i="2" s="1"/>
  <c r="L126" i="2"/>
  <c r="M126" i="2" s="1"/>
  <c r="L74" i="2"/>
  <c r="M74" i="2" s="1"/>
  <c r="L194" i="2"/>
  <c r="M194" i="2" s="1"/>
  <c r="L181" i="2"/>
  <c r="M181" i="2" s="1"/>
  <c r="L189" i="2"/>
  <c r="M189" i="2" s="1"/>
  <c r="L199" i="2"/>
  <c r="M199" i="2" s="1"/>
  <c r="L108" i="2"/>
  <c r="M108" i="2" s="1"/>
  <c r="L34" i="2"/>
  <c r="M34" i="2" s="1"/>
  <c r="L223" i="2"/>
  <c r="M223" i="2" s="1"/>
  <c r="L62" i="2"/>
  <c r="M62" i="2" s="1"/>
  <c r="L122" i="2"/>
  <c r="M122" i="2" s="1"/>
  <c r="L248" i="2"/>
  <c r="M248" i="2" s="1"/>
  <c r="L63" i="2"/>
  <c r="M63" i="2" s="1"/>
  <c r="L198" i="2"/>
  <c r="M198" i="2" s="1"/>
  <c r="L75" i="2"/>
  <c r="M75" i="2" s="1"/>
  <c r="L170" i="2"/>
  <c r="M170" i="2" s="1"/>
  <c r="L55" i="2"/>
  <c r="M55" i="2" s="1"/>
  <c r="L182" i="2"/>
  <c r="M182" i="2" s="1"/>
  <c r="L25" i="2"/>
  <c r="M25" i="2" s="1"/>
  <c r="L201" i="2"/>
  <c r="M201" i="2" s="1"/>
  <c r="L152" i="2"/>
  <c r="M152" i="2" s="1"/>
  <c r="L234" i="2"/>
  <c r="M234" i="2" s="1"/>
  <c r="L134" i="2"/>
  <c r="M134" i="2" s="1"/>
  <c r="L69" i="2"/>
  <c r="M69" i="2" s="1"/>
  <c r="L101" i="2"/>
  <c r="M101" i="2" s="1"/>
  <c r="L140" i="2"/>
  <c r="M140" i="2" s="1"/>
  <c r="L187" i="2"/>
  <c r="M187" i="2" s="1"/>
  <c r="L141" i="2"/>
  <c r="M141" i="2" s="1"/>
  <c r="L207" i="2"/>
  <c r="M207" i="2" s="1"/>
  <c r="L123" i="2"/>
  <c r="M123" i="2" s="1"/>
  <c r="L40" i="2"/>
  <c r="M40" i="2" s="1"/>
  <c r="L208" i="2"/>
  <c r="M208" i="2" s="1"/>
  <c r="L221" i="2"/>
  <c r="M221" i="2" s="1"/>
  <c r="L259" i="2"/>
  <c r="M259" i="2" s="1"/>
  <c r="L113" i="2"/>
  <c r="M113" i="2" s="1"/>
  <c r="L30" i="2"/>
  <c r="M30" i="2" s="1"/>
  <c r="L232" i="2"/>
  <c r="M232" i="2" s="1"/>
  <c r="L233" i="2"/>
  <c r="M233" i="2" s="1"/>
  <c r="L236" i="2"/>
  <c r="M236" i="2" s="1"/>
  <c r="L37" i="2"/>
  <c r="M37" i="2" s="1"/>
  <c r="L274" i="2"/>
  <c r="M274" i="2" s="1"/>
  <c r="L111" i="2"/>
  <c r="M111" i="2" s="1"/>
  <c r="L154" i="2"/>
  <c r="M154" i="2" s="1"/>
  <c r="L106" i="2"/>
  <c r="M106" i="2" s="1"/>
  <c r="L99" i="2"/>
  <c r="M99" i="2" s="1"/>
  <c r="L264" i="2"/>
  <c r="M264" i="2" s="1"/>
  <c r="L146" i="2"/>
  <c r="M146" i="2" s="1"/>
  <c r="L100" i="2"/>
  <c r="M100" i="2" s="1"/>
  <c r="L273" i="2"/>
  <c r="M273" i="2" s="1"/>
  <c r="L162" i="2"/>
  <c r="M162" i="2" s="1"/>
  <c r="L171" i="2"/>
  <c r="M171" i="2" s="1"/>
  <c r="L266" i="2"/>
  <c r="M266" i="2" s="1"/>
  <c r="L48" i="2"/>
  <c r="M48" i="2" s="1"/>
  <c r="L70" i="2"/>
  <c r="M70" i="2" s="1"/>
  <c r="L256" i="2"/>
  <c r="M256" i="2" s="1"/>
  <c r="L127" i="2"/>
  <c r="M127" i="2" s="1"/>
  <c r="L247" i="2"/>
  <c r="M247" i="2" s="1"/>
  <c r="L64" i="2"/>
  <c r="M64" i="2" s="1"/>
  <c r="L191" i="2"/>
  <c r="M191" i="2" s="1"/>
  <c r="L49" i="2"/>
  <c r="M49" i="2" s="1"/>
  <c r="L50" i="2"/>
  <c r="M50" i="2" s="1"/>
  <c r="L238" i="2"/>
  <c r="M238" i="2" s="1"/>
  <c r="L202" i="2"/>
  <c r="M202" i="2" s="1"/>
  <c r="L90" i="2"/>
  <c r="M90" i="2" s="1"/>
  <c r="L161" i="2"/>
  <c r="M161" i="2" s="1"/>
  <c r="L145" i="2"/>
  <c r="M145" i="2" s="1"/>
  <c r="L135" i="2"/>
  <c r="M135" i="2" s="1"/>
  <c r="L253" i="2"/>
  <c r="M253" i="2" s="1"/>
  <c r="M88" i="2" l="1"/>
  <c r="L13" i="2"/>
  <c r="M13" i="2" s="1"/>
</calcChain>
</file>

<file path=xl/sharedStrings.xml><?xml version="1.0" encoding="utf-8"?>
<sst xmlns="http://schemas.openxmlformats.org/spreadsheetml/2006/main" count="544" uniqueCount="294">
  <si>
    <t>SL #</t>
  </si>
  <si>
    <t>Item Description</t>
  </si>
  <si>
    <t>Quantity</t>
  </si>
  <si>
    <t>%</t>
  </si>
  <si>
    <t>Amount</t>
  </si>
  <si>
    <t>Brand</t>
  </si>
  <si>
    <t>Lab</t>
  </si>
  <si>
    <t>Remarks</t>
  </si>
  <si>
    <t>Unit</t>
  </si>
  <si>
    <t xml:space="preserve">Discount  </t>
  </si>
  <si>
    <t>A+B</t>
  </si>
  <si>
    <t>After Discount</t>
  </si>
  <si>
    <t>To be filled by the Supplier/Vendor</t>
  </si>
  <si>
    <t>Selling Price (Rs.)</t>
  </si>
  <si>
    <t>Specifications</t>
  </si>
  <si>
    <t>Amount (Rs.)</t>
  </si>
  <si>
    <t>UOM</t>
  </si>
  <si>
    <t xml:space="preserve">sub Total </t>
  </si>
  <si>
    <t>GST</t>
  </si>
  <si>
    <t xml:space="preserve"> GSTIN;29ASBPJ7427R1Z0</t>
  </si>
  <si>
    <t>Mobile 9379566366</t>
  </si>
  <si>
    <t>QUOTATION</t>
  </si>
  <si>
    <t>Jai Maruthi Scientific</t>
  </si>
  <si>
    <t>TO</t>
  </si>
  <si>
    <r>
      <t xml:space="preserve">    </t>
    </r>
    <r>
      <rPr>
        <b/>
        <sz val="20"/>
        <color rgb="FF00B050"/>
        <rFont val="Arial Narrow"/>
        <family val="2"/>
      </rPr>
      <t>DEALERS IN : LABORATORY CHEMICALS &amp; SCIENTIFIC PRODUCTS,</t>
    </r>
    <r>
      <rPr>
        <b/>
        <sz val="20"/>
        <color theme="1"/>
        <rFont val="Arial Narrow"/>
        <family val="2"/>
      </rPr>
      <t xml:space="preserve">                          
      #147,2nd Main Road, Near RES Convent ,Kaveripura,Kamakshipalya,    Bangalore 560079</t>
    </r>
  </si>
  <si>
    <r>
      <t xml:space="preserve">Price  (Rs.) </t>
    </r>
    <r>
      <rPr>
        <b/>
        <sz val="11"/>
        <color rgb="FFFF0000"/>
        <rFont val="Book Antiqua"/>
        <family val="1"/>
      </rPr>
      <t>A</t>
    </r>
  </si>
  <si>
    <r>
      <t xml:space="preserve">Amount (Rs.) </t>
    </r>
    <r>
      <rPr>
        <b/>
        <sz val="11"/>
        <color rgb="FFFF0000"/>
        <rFont val="Book Antiqua"/>
        <family val="1"/>
      </rPr>
      <t>B</t>
    </r>
  </si>
  <si>
    <t>LOBA</t>
  </si>
  <si>
    <t>S D FINE</t>
  </si>
  <si>
    <t xml:space="preserve">NICE </t>
  </si>
  <si>
    <t>SRL</t>
  </si>
  <si>
    <t>Oxford</t>
  </si>
  <si>
    <t>HIMEDIA</t>
  </si>
  <si>
    <t>194000100 BILE SALT FOR BACTERIOLOGY 100 GM</t>
  </si>
  <si>
    <t>CO-50/500ML COD LIVER OIL 500 ML</t>
  </si>
  <si>
    <t>39117K05 MAGNESIUM SULPHATE HEPTAHYDRATE EXTRAPURE 500 GM</t>
  </si>
  <si>
    <t>A-01174 ATROPINE SULPHATE Monohydrate AR 100 gm</t>
  </si>
  <si>
    <t>BD8654 98% 1H-Indole-3-carboxylic acid, 98%  500G</t>
  </si>
  <si>
    <t>NICE</t>
  </si>
  <si>
    <t xml:space="preserve"> EAST POINT COLLEGE OF PHARMACY 
BIDARAHALLI, BANGALORE- 560049
 </t>
  </si>
  <si>
    <t>SD FINE</t>
  </si>
  <si>
    <t>A-00512 ALUMINIUM CHLORIDE (Anhydrous) 98% (Decomposes with water) Extra Pure 500 gm</t>
  </si>
  <si>
    <t>A-00626 AMARANTH INDICATOR SOLUTION 500 ml</t>
  </si>
  <si>
    <t>44683 Ammonium Acetate extrapure 500g</t>
  </si>
  <si>
    <t>61563 Ammonium Phosphate Monobasic(ammonium diydrogen phosphate)500g</t>
  </si>
  <si>
    <t xml:space="preserve">22285 Aniline ACS, 99.5% 500 ml </t>
  </si>
  <si>
    <t>20002L05 **ACETIC ANHYDRIDE 99% AR, ACS, ISO AR 500ml</t>
  </si>
  <si>
    <t xml:space="preserve">31566 Acetone pure, 99% 500 ml </t>
  </si>
  <si>
    <t xml:space="preserve">35543 Aluminium Hydroxide Gel ExiPlus, Multi‐ Compendial 500 Gms </t>
  </si>
  <si>
    <t>25103 Ammonium Chloride ACS, 99.5% 500 Gms</t>
  </si>
  <si>
    <t xml:space="preserve">11505 Ammonium Citrate Tribasic (Triammonium Hydrogen Citrate) extrapure AR, 98.5% 500 Gms </t>
  </si>
  <si>
    <t xml:space="preserve">37187K05 AMMONIUM MOLYBDATE EP (ammonium heptamolybdate) EP 500g </t>
  </si>
  <si>
    <t xml:space="preserve">78719 Ammonia Solution Reagent Grade, 25% 500 ml </t>
  </si>
  <si>
    <t xml:space="preserve">57020 Isoamyl Alcohol (Isopentyl Alcohol) pure, 98.5% 500 ml </t>
  </si>
  <si>
    <t>23006 L‐Ascorbic Acid ACS, 99% 500 Gms</t>
  </si>
  <si>
    <t>A-00247 ACETYL SALICYLIC ACID 98% (For Synthesis) (Aspirin) 500 gm</t>
  </si>
  <si>
    <t>78118 Barium Chloride Dihydrate pure, 98% 500 Gms</t>
  </si>
  <si>
    <t xml:space="preserve">B10729 Barium nitrate - 98% 500 gm </t>
  </si>
  <si>
    <t>80355 Barium Sulphate extrapure, 97% 500 Gms</t>
  </si>
  <si>
    <t>B-01360 BAYER'S REAGENT 500 ml</t>
  </si>
  <si>
    <t xml:space="preserve">B20829 Benedict’s reagent qualitative 500 ml </t>
  </si>
  <si>
    <t>B30829 Benedict’s reagent quantitative 500 ml</t>
  </si>
  <si>
    <t xml:space="preserve">37278 Benzaldehyde pure, 98% 500 ml </t>
  </si>
  <si>
    <t>B-01399 BENZALKONIUM CHLORIDE Pure (50% W/V Aqueous Solution) 500 ml</t>
  </si>
  <si>
    <t>36805 Benzoic Acid pure, 99% 500 Gms</t>
  </si>
  <si>
    <t xml:space="preserve">92300 Benzyl Alcohol extrapure, 99% 500 ml </t>
  </si>
  <si>
    <t xml:space="preserve">77031 Biuret Reagent Solution ExiPlus, Multi‐ Compendial 250 ml </t>
  </si>
  <si>
    <t>40717K05 DI-SODIUM TETRABORATE DECAHYDRATE (BORAX) LR 500g</t>
  </si>
  <si>
    <t xml:space="preserve">2255D00100 BRILLIANT GREEN 1% w/v AQUEOUS SOLUTION 100 ml </t>
  </si>
  <si>
    <t>B-01799 BROMOCRESOL GREEN (0.04%) SOLUTION 125 ml</t>
  </si>
  <si>
    <t>B42771 Bromothymol blue solution 125 ml</t>
  </si>
  <si>
    <t>71953 Casein Protein Rich Alkali Soluble extrapure, 80% Protein 500 Gms</t>
  </si>
  <si>
    <t>C-02344 CARBON TETRACHLORIDE 99% Extra Pure (Tetrachloromethane) 500 ml</t>
  </si>
  <si>
    <t>C-02349 CARBOPOL 934 Extra Pure (Carboxy Vinyl Polymer 934) 100 gm</t>
  </si>
  <si>
    <t xml:space="preserve">43220L05 OIL OF CASTOR (castor oil) LR 500ml </t>
  </si>
  <si>
    <t>C-02665 CHLORO PHENOL RED INDICATOR SOLUTION 500 ml</t>
  </si>
  <si>
    <t xml:space="preserve">32198 Mixed Cresol pure, 85% 500 ml </t>
  </si>
  <si>
    <t xml:space="preserve">C33971 Crystal violet solution oxalated 125 ml </t>
  </si>
  <si>
    <t xml:space="preserve">38096L05 DICHLOROMETHANE EP (methylene chloride) (FOR SYNTHESIS)(&lt;30°C) EP 500ml </t>
  </si>
  <si>
    <t>G89029 Glucose Ph. Eur (Dextrose anhydrous) 500 gm</t>
  </si>
  <si>
    <t xml:space="preserve">D20271 Diacetyl monoxime solution 2% w / v 125 ml </t>
  </si>
  <si>
    <t>38425L05 N,N-DIMETHYLFORMAMIDE (FOR SYNTHESIS) LR 500ml</t>
  </si>
  <si>
    <t xml:space="preserve">40158K05 di-SODIUM HYDROGEN ORTHOPHOSPHATE ANHYDROUS PURIFIED (sodium phosphate dibasic anhydrous) PU 500g </t>
  </si>
  <si>
    <t xml:space="preserve">38073L05 DIBUTYL PHTHALATE (phthalic acid dibutyl ester, di-n-butyl phthalate) (FOR SYNTHESIS) LR 500ml </t>
  </si>
  <si>
    <t>12566 N,N‐Dimethylaniline pure, 98% 500 ml</t>
  </si>
  <si>
    <t>38234URK05 2,4-DINITROPHENYL HYDRAZINE UR''UNIVERSAL REAGENT'' meets analytical specification of LR &amp; AR (stabilised with abt.33% water) UR 500g sd fine</t>
  </si>
  <si>
    <t>90654 Potassium Phosphate Dibasic Anhydrous pure, 98% 500 Gms</t>
  </si>
  <si>
    <t>96244 DL‐Alanine extrapure CHR, 99% 100 Gms</t>
  </si>
  <si>
    <t xml:space="preserve">85675 Dragendorff`s Reagent 125 ml </t>
  </si>
  <si>
    <t>E-03651 EGG ALBUMIN POWDER (Albumin Egg Powder ) 250 gm</t>
  </si>
  <si>
    <t>25049 Ethyl Ether pure, 98% 500 ml</t>
  </si>
  <si>
    <t xml:space="preserve">38311L05 ETHYL ACETATE EXTRA PURE (FOR SYNTHESIS) EP 500ml </t>
  </si>
  <si>
    <t>22636 Ethyl Acetoacetate pure, 99% 500 ml</t>
  </si>
  <si>
    <t>E23179 Ethyl Iodide 99% (Iodo ethane) (stabilised with silver wire) 250 ml</t>
  </si>
  <si>
    <t>47471 Ethylene Glycol (MEG, Monoethylene Glycol) pure, 98% 500 ml</t>
  </si>
  <si>
    <t>E-03906 EUDRAGIT L-100 (For Lab Use Only) 100 gm</t>
  </si>
  <si>
    <t>89474 Fehling`s solution A 500 ml</t>
  </si>
  <si>
    <t>12603 Fehling`s solution B 500 ml</t>
  </si>
  <si>
    <t>72287 Ferric Chloride Anhydrous pure, 98% 500 Gms</t>
  </si>
  <si>
    <t>81056L01 FERROIN SOLN AR PS 100ml</t>
  </si>
  <si>
    <t>89944 Ammonium Ferrous Sulphate Hexahydrate extrapure, 98% 500 Gms</t>
  </si>
  <si>
    <t xml:space="preserve">F10729 Ferrous sulphate - 98% 500 gm </t>
  </si>
  <si>
    <t>46990 Fluid Thioglycollate Medium, Harmonized 100 Gms</t>
  </si>
  <si>
    <t>C20825 Calcium oxalate (Ca - 30%) 250 gm</t>
  </si>
  <si>
    <t>0014600500 FORMALDEHYDE SOLUTION 37% Extra Pure 500 ml</t>
  </si>
  <si>
    <t>38428L05 FORMIC ACID ABT.85% LR (FOR SYNTHESIS) LR 500ml</t>
  </si>
  <si>
    <t>028433 D-Fructose Pure 500g</t>
  </si>
  <si>
    <t>103795 Gelatin for Bacteriology 500g</t>
  </si>
  <si>
    <t xml:space="preserve">40438K05 TIN (METAL) GRANULATED LR 500g </t>
  </si>
  <si>
    <t>90970 Acacia (Gum Acacia) extrapure 500 Gms</t>
  </si>
  <si>
    <t>P-06625 PARAFFIN WAX (Pellets) 58-60°C 500 gm</t>
  </si>
  <si>
    <t xml:space="preserve">38486L05 HEXANE (ALL SATURATED ACYCLIC HYDROCARBONS&gt;98%) LR 500ml </t>
  </si>
  <si>
    <t>H-04711 HYDROGEN PEROXIDE 6% W/V H2 O2 (20 VOLUMES) 500 ml</t>
  </si>
  <si>
    <t>I-04908 IRON METAL POWDER ELECTROLYTIC 99.5% (250- 300 MESH) 500 gm</t>
  </si>
  <si>
    <t>A-00880 iso-AMYL ALCOHOL 98% Extra Pure (For Milk Testing) 500 ml</t>
  </si>
  <si>
    <t>K-04984 KAOLIN Extra Pure (Aluminium Silicate Hydrate) 500 gm</t>
  </si>
  <si>
    <t>I-04924 ISO-PROPLY B-D-THIOGALACTOPYRANOSIDE 99% (For Molecular Biology) (IPTG) (Non Metabolizable Galactose analog) 250 mg</t>
  </si>
  <si>
    <t>L-05204 LEAD SUB ACETATE Basic (Anhydrous) 99% Extra Pure (Lead Acetate Basic Anhydrous) (For Sugar Analysis) 500 gm</t>
  </si>
  <si>
    <t>L10629 Lead monoxide (Litharge) - 98% 500 gm</t>
  </si>
  <si>
    <t>L-05193 LEAD SULPHATE 98.5% Pure 500 gm</t>
  </si>
  <si>
    <t>O-06483/139 OIL OF LEMON Extra Pure 500 ml</t>
  </si>
  <si>
    <t xml:space="preserve">M13025 Magnesium carbonate light (MgO - 40 - 45%) 250 gm </t>
  </si>
  <si>
    <t>39739L05 PETROLEUM ETHER 60-80C (FOR SYNTHESIS) LR 500ml</t>
  </si>
  <si>
    <t>liquis paraffin</t>
  </si>
  <si>
    <t>78222 Magnesium Stearate ExiPlus, Multi‐Compendial 500g</t>
  </si>
  <si>
    <t>63818 Magnesium Carbonate Basic Light, 40‐45% MgO 500g</t>
  </si>
  <si>
    <t>029153 Menthol Crystal Natural 99.0% 100g</t>
  </si>
  <si>
    <t>24248 D‐Mannitol extrapure, 98.5% 500g</t>
  </si>
  <si>
    <t>029192 Methanol for Synthesis 99.0% 500ml</t>
  </si>
  <si>
    <t xml:space="preserve">029192 Methanol for Synthesis 99.0% 500ml  </t>
  </si>
  <si>
    <t>152560 Methyl Acetate Pract 90.0% 500ml</t>
  </si>
  <si>
    <t>029214 Methyl Benzoate for Synthesis 99.0% 500ml</t>
  </si>
  <si>
    <t>22249 Sodium Phosphate Monobasic Anhydrous Reagent Grade, 99% 500 Gms</t>
  </si>
  <si>
    <t>E-03680 ERIOCHROME BLACK T (C.I.NO.14645) (Solochrome Black T) 100 gm</t>
  </si>
  <si>
    <t>70855 Orange Oil extrapure 500 ml</t>
  </si>
  <si>
    <t xml:space="preserve">37130K05 4-AMINOPHENOL PRACT (P-AMINOPHENOL) PT 500g </t>
  </si>
  <si>
    <t>D-03420 p-DIMETHYL AMINO BENZALDEHYDE 98% (For Synthesis) 100 gm</t>
  </si>
  <si>
    <t>N-06390 4-NITRO BENZOIC ACID 99% (For Synthesis) (p- Nitrobenzoic Acid) 500 gm</t>
  </si>
  <si>
    <t>79133 Polyethylene Glycol 400 (PEG 400) 500 Gms</t>
  </si>
  <si>
    <t>O-06483/166 OIL OF ORANGE Extra Pure 500 ml</t>
  </si>
  <si>
    <r>
      <t xml:space="preserve">	</t>
    </r>
    <r>
      <rPr>
        <sz val="11"/>
        <color rgb="FFFF0000"/>
        <rFont val="Bookman Old Style"/>
        <family val="1"/>
      </rPr>
      <t xml:space="preserve"> AMMONIUM CYANIDE</t>
    </r>
  </si>
  <si>
    <t>ABO ANTIGEN ANTISERUM</t>
  </si>
  <si>
    <t>71178 L‐Alanine extrapure CH 500Gms</t>
  </si>
  <si>
    <t>31005L03 BROMOCRESOL PURPLE 0.04% SOLN. PS 125ml</t>
  </si>
  <si>
    <t>042815 Calcium- D-Saccharate Tetrahydrate 500g</t>
  </si>
  <si>
    <t>37632K05 DL-CAMPHOR LR 500g</t>
  </si>
  <si>
    <t>ephedrine hydrochloride</t>
  </si>
  <si>
    <t>honey</t>
  </si>
  <si>
    <t>006470 p-Amino Benzoic AcidPract. (4-Amino Benzoic acid) 500g</t>
  </si>
  <si>
    <t xml:space="preserve">phenobarbitone </t>
  </si>
  <si>
    <t>P-06752 PHENOL RED INDICATOR SOLUTION (0.02%) 500 ml</t>
  </si>
  <si>
    <t xml:space="preserve">31028L05 PHENOLPHTHALEIN SOLN (PH INDICATOR) PS 500ml </t>
  </si>
  <si>
    <t>53046 Sodium Phosphate Dibasic Anhydrous extrapure, 99% 500 Gms</t>
  </si>
  <si>
    <t>39416L05 ORTHOPHOSPHORIC ACID ABT. 85% (phosphoric acid abt. 85%) LR 500ml</t>
  </si>
  <si>
    <t>609575 Phosphomolybdic Acid AR/ACS  500g</t>
  </si>
  <si>
    <t>029541 Phthalic Anhydride for Synthesis 98.0% 500g</t>
  </si>
  <si>
    <t>piatonic chloride</t>
  </si>
  <si>
    <t>029554 Picric Acid (Moistened with water) 99.0-100.5%  500g</t>
  </si>
  <si>
    <t>192075 Piperazine Citrate 500g</t>
  </si>
  <si>
    <t>39791K05 POLYVINYL ALCOHOL M.W.APP.1,25,000 PVA (COLD) - GH17R LR 500g</t>
  </si>
  <si>
    <t>029581 Potassium Acetate 99.0%  500g</t>
  </si>
  <si>
    <t>029588 Potassium Bromate 99.0-101.0% 250g</t>
  </si>
  <si>
    <t>029589 Potassium Bromide Purified 99.0%  500g</t>
  </si>
  <si>
    <t>195475 Potassium Carbonate (Anhy.) 99.0%  500g</t>
  </si>
  <si>
    <t>029594 Potassium Chloride Purified 99.0%  500g</t>
  </si>
  <si>
    <t xml:space="preserve">029598 Potassium Chromate Purified 99.0%  500g </t>
  </si>
  <si>
    <t>029619 di-Potassium Hydrogen OrthoPhosphate (Dibasic) Anhydrous98.0%  500g</t>
  </si>
  <si>
    <t>196195 tri-Potassium Phosphate 97.0%  500g</t>
  </si>
  <si>
    <t>029658 Potassium Sulphate Low in Nitrogen Content Suitable for Protein Test 99.0% 500g</t>
  </si>
  <si>
    <t>196925 Potassium Thiosulphate Practical Grade 95.0% 500g</t>
  </si>
  <si>
    <t>029608 Potassium Dihydrogen Ortho Phosphate Anhydrous Purified 99.0-101.0%  500g</t>
  </si>
  <si>
    <t>029673 1,2-Propanediol (Propylene Glycol) 99.0%  500ml</t>
  </si>
  <si>
    <t xml:space="preserve">39707L10 PYRIDINE (FOR SYNTHESIS) LR 1L </t>
  </si>
  <si>
    <t>Q12009 Quinine sulphate dihydrate - 99% 25 gm</t>
  </si>
  <si>
    <t>81009L01 RASPBERRY FLAVOUR (FLV 0901) FC 100ml</t>
  </si>
  <si>
    <t xml:space="preserve">44066G01 RUTHENIUM RED MC 1g </t>
  </si>
  <si>
    <t>45081L03 SAFRANINE SOLN (M.S.) SM 125ml</t>
  </si>
  <si>
    <t>319375 Safranine O for Microscopy C.l. No. 50240 90.0%  25g</t>
  </si>
  <si>
    <t>S-07765 SILICA GEL 60-120 Mesh (For Column Chromatography) 500 gm</t>
  </si>
  <si>
    <t xml:space="preserve">5743A00500 SILVER NITRATE 0.05N VOLUMETRIC SOLUTION 500 ml </t>
  </si>
  <si>
    <t>S-08215 SODIUM NITROPRUSSIDE 98% Extra Pure 500 gm</t>
  </si>
  <si>
    <t>030104 Sodium Acetate Anhydrous 98.0%  500g</t>
  </si>
  <si>
    <t>030112 Sodium Benzoate Meets Analytical Specification of IP, BP, Ph. Eur., FCC. 99.0-100   500g</t>
  </si>
  <si>
    <t>030121 Sodium Carbonate (Anhydrous) Pure 99.5%</t>
  </si>
  <si>
    <t>030123 Sodium Chloride Cryst. Pure 99.5%  500g</t>
  </si>
  <si>
    <t>030152 di -Sodium Hydrogen Citrate 99.0-104.0%   500g</t>
  </si>
  <si>
    <t>030152 di -Sodium Hydrogen Citrate 99.0-104.0%  500g</t>
  </si>
  <si>
    <t>044475 Carboxy Methyl Cellulose Sodium Salt ACS Low Viscosity (250-300)  500g</t>
  </si>
  <si>
    <t>030167 Sodium Hydroxide Pellets Purified 97.0% 5kg</t>
  </si>
  <si>
    <t>S-08148 SODIUM HYPOCHLORITE SOLUTION (App. Chlorine 4 to 6%) 500 ml</t>
  </si>
  <si>
    <t>S-08207 SODIUM NITRITE 97% Extra Pure 500 gm</t>
  </si>
  <si>
    <t xml:space="preserve">S-08215 SODIUM NITROPRUSSIDE 98% Extra Pure 500 gm </t>
  </si>
  <si>
    <t>030195 Sodium Oxalate Purified (di-Sodium Oxalate) 99.5%  500g</t>
  </si>
  <si>
    <t>029656 Potassium Sodium (+) Tartrate 99.0-102.0%  500g</t>
  </si>
  <si>
    <t>S-07633 SACCHARIN SODIUM Dihydrate 98% Extra Pure 500 gm</t>
  </si>
  <si>
    <t>221895 Sodium Stearate for Synthesis 98.0%  500g</t>
  </si>
  <si>
    <t>S-08441 SOYA LECITHIN Extra Pure 100 gm</t>
  </si>
  <si>
    <t xml:space="preserve">MH011-100G Casein Soyabean Digest Broth (Soyabean Casein Digest Medium) </t>
  </si>
  <si>
    <t xml:space="preserve">40267K05 STEARIC ACID LR 500g </t>
  </si>
  <si>
    <t>40299K10 SUCROSE (saccharose) LR 1kg</t>
  </si>
  <si>
    <t xml:space="preserve">40299K05 SUCROSE (saccharose) LR 500g  </t>
  </si>
  <si>
    <t>030314 5- Sulphosalicylic Acid 99.0-101.0%   500g</t>
  </si>
  <si>
    <t>236935 Talcum Powder Pract  500g</t>
  </si>
  <si>
    <t>237440 L (+) Tartaric Acid Cryst.Pure 99.0%  500 gm</t>
  </si>
  <si>
    <t xml:space="preserve">93314 Tetraethyl Orthosilicate (TEOS) extrapure, 98%, 28‐28.8% SiO2 100 ml </t>
  </si>
  <si>
    <t>243755 Thiourea Pract About 97.0%   500g</t>
  </si>
  <si>
    <t>31032L03 THYMOLPHTHALEIN SOLN (PH INDICATOR) PS 125ml</t>
  </si>
  <si>
    <t>B-01456/500 a-BENZOIN OXIME SOLUTION 100 ml</t>
  </si>
  <si>
    <t>030452 Toluene Rectified 99.0%  1L</t>
  </si>
  <si>
    <t>G-04530 GUM TRAGACANTH 500 gm</t>
  </si>
  <si>
    <t xml:space="preserve">33048L05 TRICHLOROACETIC ACID SOLN 20% W/V CR 500ml </t>
  </si>
  <si>
    <t xml:space="preserve">40501L05 TRIETHANOLAMINE LR 98% (FOR SYNTHESIS) LR 500ml </t>
  </si>
  <si>
    <t>T-09257 TWEEN 20 Extra Pure (Polysorbate 20) (Polyoxyethylene Sorbitan Mono Laurate) 500 ml</t>
  </si>
  <si>
    <t>T-09272 TWEEN 80 Extra Pure (Polysorbate 80) (Polyoxyethylene Sorbitan Mono Oleate) 500 ml</t>
  </si>
  <si>
    <t>030569 Vanillin for synthesis 98.0%   100g</t>
  </si>
  <si>
    <t>902600 Wagner's Reagent for the detection of alkaloids   500ml</t>
  </si>
  <si>
    <t>902600 Wagner's Reagent for the detection of alkaloids  125ml</t>
  </si>
  <si>
    <t>B-01371 BEES WAX PURE WHITE (For Histology) 500 gm</t>
  </si>
  <si>
    <t>P-06710 PETROLEUM JELLY WHITE (Soft Paraffin white) (Vaseline White) 500 gm</t>
  </si>
  <si>
    <t>L-05053 LANOLIN (Anhydrous) (Wool Fat) 500 gm</t>
  </si>
  <si>
    <t>X-09477 XANTHAN GUM Pure 500 gm</t>
  </si>
  <si>
    <t>Y-09545 YEAST EXTRACT PASTE (For Bacteriology) 500 gm</t>
  </si>
  <si>
    <t>38234- 2,4-DINITROPHENYL HYDRAZINE UR''UNIVERSAL REAGENT'' meets analytical specification of LR &amp; AR (stabilised with abt.33% water) UR 500g sd fine</t>
  </si>
  <si>
    <t>RDM-AA-01 AGAR AGAR POWDER  500 gm</t>
  </si>
  <si>
    <t>Readymedia</t>
  </si>
  <si>
    <t>GRM6421 EGG ALBUMIN POWDER 500 gm</t>
  </si>
  <si>
    <t>Himedia</t>
  </si>
  <si>
    <t>CDH</t>
  </si>
  <si>
    <t>BLD</t>
  </si>
  <si>
    <t>064415 4.4-Diamino Diphenyl Sulphone for Synthesis (Dapson) 100gm</t>
  </si>
  <si>
    <t>030158 di -Sodium Hydrogen Ortho Phosphate Anhydrous 98.0% 500gm</t>
  </si>
  <si>
    <t xml:space="preserve">29128 2,2‐Diphenyl‐1‐Picrylhydrazyl (DPPH) extrapure, 95% 5 Gms </t>
  </si>
  <si>
    <t xml:space="preserve">38311L05 ETHYL ACETATE EXTRA PURE (FOR SYNTHESIS) EP 2500ml </t>
  </si>
  <si>
    <t>0387000100 FOLIN &amp; CIOCALTEU'S PHENOL REAGENT 100 ml</t>
  </si>
  <si>
    <t xml:space="preserve">0387000250 FOLIN &amp; CIOCALTEU'S PHENOL REAGENT 250 ml </t>
  </si>
  <si>
    <t>3879H00125 FOUCHET'S REAGENT 25% 125 ml</t>
  </si>
  <si>
    <t>TCI</t>
  </si>
  <si>
    <t xml:space="preserve">87445 R.B.C. Diluting Fluid (Hayem`s Solution) 500 ml </t>
  </si>
  <si>
    <t>169215 Nitric Acid (1.41-1.42) 69-72%   2.5L</t>
  </si>
  <si>
    <t>027023 Acetone for Synthesis 99.0%  500ml</t>
  </si>
  <si>
    <t>027710 Chloroform for Synthesis 500ml</t>
  </si>
  <si>
    <t>029220 Acetonitrile for Synthesis 500ml</t>
  </si>
  <si>
    <t>866320 Molisch's Reagent 125ml</t>
  </si>
  <si>
    <t>876700 Potassium Bromide 0.1M (0.1N) Volumetric Solution  500ml</t>
  </si>
  <si>
    <r>
      <rPr>
        <sz val="11"/>
        <color rgb="FFFF0000"/>
        <rFont val="Bookman Old Style"/>
        <family val="1"/>
      </rPr>
      <t>160490</t>
    </r>
    <r>
      <rPr>
        <sz val="11"/>
        <color theme="1" tint="4.9989318521683403E-2"/>
        <rFont val="Bookman Old Style"/>
        <family val="1"/>
      </rPr>
      <t xml:space="preserve"> Metronidazole for Lab Use  500G</t>
    </r>
  </si>
  <si>
    <t xml:space="preserve">39088K02 MAGNESIUM (METAL) TURNING (ACC. TO GRIGNARD) (FOR SYNTHESIS) LR 250g </t>
  </si>
  <si>
    <t>18211 Paraffin Liquid Light (Mineral Oil Lightextra Pure,25‐80mPas 500ml</t>
  </si>
  <si>
    <t>C2481 Chlorpromazine Hydrochloride 5G</t>
  </si>
  <si>
    <t>C-02569  CHITOSAN (From Shrimp Shells) (Degree of Deacetylation : Min. 75%) 500 gm</t>
  </si>
  <si>
    <t>O-06483  OIL OF CEDARWOOD (For Microscopy) 100 ml</t>
  </si>
  <si>
    <t>Acriflavine solution</t>
  </si>
  <si>
    <t>O-06483 OIL OF ALMOND   500 ml</t>
  </si>
  <si>
    <t>39436 PARAFFIN LIQUID LIGHT (petrolatumliquid, liquid paraffin light)LR 500 ml</t>
  </si>
  <si>
    <r>
      <rPr>
        <sz val="11"/>
        <color rgb="FFFF0000"/>
        <rFont val="Bookman Old Style"/>
        <family val="1"/>
      </rPr>
      <t>0540800500</t>
    </r>
    <r>
      <rPr>
        <sz val="11"/>
        <color theme="1" tint="4.9989318521683403E-2"/>
        <rFont val="Bookman Old Style"/>
        <family val="1"/>
      </rPr>
      <t xml:space="preserve"> POTASSIUM PERCHLORATE 99.5% AR/ACS 500 g </t>
    </r>
  </si>
  <si>
    <t>O-06483 OIL OF ANISE Extra Pure 100 ml</t>
  </si>
  <si>
    <t>GRM6761-500G Carbopol 934</t>
  </si>
  <si>
    <t>C2301 Chloroquine Diphosphate 500G</t>
  </si>
  <si>
    <t xml:space="preserve"> G 1388 Glycerol monooleate 500G</t>
  </si>
  <si>
    <t>Otto</t>
  </si>
  <si>
    <t xml:space="preserve"> </t>
  </si>
  <si>
    <t>I0415 Ibuprofen 500G</t>
  </si>
  <si>
    <t xml:space="preserve"> Ethanol 10lit </t>
  </si>
  <si>
    <t>185415 Petroleum Ether for Synthesis Boiling range 60-80° C 500ml</t>
  </si>
  <si>
    <t xml:space="preserve"> 028132 Diethyl Ether 500ml</t>
  </si>
  <si>
    <t>197405 2- Propanol (ISO-Propyl Alcohol) 99.0% 500ml</t>
  </si>
  <si>
    <t xml:space="preserve"> 027017 Acetic Acid Glacial for Synthesis (Meets Analytical Specification of IP) 99.5% 2.5L</t>
  </si>
  <si>
    <t>T0104Tetrahydrofuran (stabilized with BHT) 500ML</t>
  </si>
  <si>
    <t>15354 Sulphanilic Acid pure, 99% 500 Gms</t>
  </si>
  <si>
    <t>58254 Starch Corn pure 500 Gms</t>
  </si>
  <si>
    <t xml:space="preserve">69285 Potato Starch pure 500 Gms  </t>
  </si>
  <si>
    <t>030254 Stannous Chloride (Tin II Chloride) 97.0%  250G</t>
  </si>
  <si>
    <t>P1975Probenecid 100G</t>
  </si>
  <si>
    <t>0539000500 POTASSIUM IODIDE 99% Extra Pure 500 g</t>
  </si>
  <si>
    <t>16758 poloamer407 250G</t>
  </si>
  <si>
    <t>SIGMA</t>
  </si>
  <si>
    <t>GRM1138- 1,10-Phenanthroline monohydrate, Hi-LR®5G</t>
  </si>
  <si>
    <t>133280 Butyl isocyanide 1G</t>
  </si>
  <si>
    <t>53383 Mercury Metal extrapure, 99% 250 Gms</t>
  </si>
  <si>
    <t xml:space="preserve">M33671 Mayer’s solution 125 ml </t>
  </si>
  <si>
    <t>H1807Hyaluronic Acid from Bacteria 1G</t>
  </si>
  <si>
    <t>H 1686 HPMC E15- 500g</t>
  </si>
  <si>
    <t>otto</t>
  </si>
  <si>
    <t>H 1689 HPMC K15M- 500G</t>
  </si>
  <si>
    <t xml:space="preserve">N10429 Nickel carbonate (Ni - 38 - 46%) 250 gm </t>
  </si>
  <si>
    <t xml:space="preserve"> Ethyl alcohol 500ml</t>
  </si>
  <si>
    <t>Sulphuric Acid 98%  5Lit</t>
  </si>
  <si>
    <t>Rankem</t>
  </si>
  <si>
    <t xml:space="preserve">0024002500 PERCHLORIC ACID 60% AR/ACS 2500 ml </t>
  </si>
  <si>
    <t>LOBA CHEMIE</t>
  </si>
  <si>
    <t>Merck</t>
  </si>
  <si>
    <t xml:space="preserve"> Merck</t>
  </si>
  <si>
    <t>Mercuric Chloride extrapure, 98% 250G</t>
  </si>
  <si>
    <t>G31171 Gram’s iodine solution 125ml</t>
  </si>
  <si>
    <t>Qt No;063                   Date;24.06.2026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</si>
</sst>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rgb="FFFF0000"/>
      <name val="Arial Black"/>
      <family val="2"/>
    </font>
    <font>
      <b/>
      <sz val="20"/>
      <color theme="1"/>
      <name val="Arial Narrow"/>
      <family val="2"/>
    </font>
    <font>
      <b/>
      <sz val="20"/>
      <color rgb="FF00B050"/>
      <name val="Arial Narrow"/>
      <family val="2"/>
    </font>
    <font>
      <b/>
      <sz val="18"/>
      <color rgb="FF7030A0"/>
      <name val="Arial Black"/>
      <family val="2"/>
    </font>
    <font>
      <b/>
      <sz val="13"/>
      <color rgb="FFC00000"/>
      <name val="Arial Black"/>
      <family val="2"/>
    </font>
    <font>
      <b/>
      <sz val="12"/>
      <name val="Book Antiqua"/>
      <family val="1"/>
    </font>
    <font>
      <b/>
      <sz val="11"/>
      <color theme="1"/>
      <name val="Book Antiqua"/>
      <family val="1"/>
    </font>
    <font>
      <b/>
      <sz val="11"/>
      <color rgb="FFFF0000"/>
      <name val="Book Antiqua"/>
      <family val="1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Book Antiqua"/>
      <family val="1"/>
    </font>
    <font>
      <sz val="12"/>
      <color rgb="FFFF0000"/>
      <name val="Bookman Old Style"/>
      <family val="1"/>
    </font>
    <font>
      <sz val="11"/>
      <color rgb="FFFF0000"/>
      <name val="Bookman Old Style"/>
      <family val="1"/>
    </font>
    <font>
      <sz val="12"/>
      <name val="Bookman Old Style"/>
      <family val="1"/>
    </font>
    <font>
      <sz val="12"/>
      <name val="Book Antiqua"/>
      <family val="1"/>
    </font>
    <font>
      <sz val="11"/>
      <name val="Bookman Old Style"/>
      <family val="1"/>
    </font>
    <font>
      <sz val="11"/>
      <color theme="1"/>
      <name val="Book Antiqua"/>
      <family val="1"/>
    </font>
    <font>
      <sz val="8"/>
      <name val="Calibri"/>
      <family val="2"/>
      <scheme val="minor"/>
    </font>
    <font>
      <sz val="11"/>
      <color theme="1" tint="4.9989318521683403E-2"/>
      <name val="Bookman Old Style"/>
      <family val="1"/>
    </font>
    <font>
      <sz val="12"/>
      <color theme="1" tint="4.9989318521683403E-2"/>
      <name val="Bookman Old Style"/>
      <family val="1"/>
    </font>
    <font>
      <sz val="12"/>
      <color theme="1" tint="4.9989318521683403E-2"/>
      <name val="Book Antiqua"/>
      <family val="1"/>
    </font>
    <font>
      <sz val="12"/>
      <color rgb="FFFF0000"/>
      <name val="Book Antiqua"/>
      <family val="1"/>
    </font>
    <font>
      <sz val="11"/>
      <name val="Calibri"/>
      <family val="2"/>
      <scheme val="minor"/>
    </font>
    <font>
      <sz val="11"/>
      <color theme="2" tint="-0.89999084444715716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98E83"/>
        <bgColor indexed="64"/>
      </patternFill>
    </fill>
    <fill>
      <patternFill patternType="solid">
        <fgColor rgb="FFFEDFD6"/>
        <bgColor indexed="64"/>
      </patternFill>
    </fill>
    <fill>
      <patternFill patternType="solid">
        <fgColor rgb="FFFDC1B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8" fillId="0" borderId="6" xfId="0" applyFont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6" fillId="0" borderId="1" xfId="0" applyFont="1" applyBorder="1"/>
    <xf numFmtId="0" fontId="17" fillId="0" borderId="1" xfId="0" applyFont="1" applyBorder="1" applyAlignment="1">
      <alignment horizontal="left" vertical="center"/>
    </xf>
    <xf numFmtId="0" fontId="19" fillId="0" borderId="1" xfId="0" applyFont="1" applyBorder="1"/>
    <xf numFmtId="0" fontId="13" fillId="0" borderId="1" xfId="0" applyFont="1" applyBorder="1"/>
    <xf numFmtId="0" fontId="15" fillId="0" borderId="1" xfId="0" applyFont="1" applyBorder="1"/>
    <xf numFmtId="0" fontId="22" fillId="0" borderId="1" xfId="0" applyFont="1" applyBorder="1"/>
    <xf numFmtId="0" fontId="23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wrapText="1"/>
    </xf>
    <xf numFmtId="0" fontId="12" fillId="0" borderId="1" xfId="0" applyFont="1" applyBorder="1" applyAlignment="1">
      <alignment horizontal="left" vertical="center"/>
    </xf>
    <xf numFmtId="2" fontId="13" fillId="0" borderId="1" xfId="2" applyNumberFormat="1" applyFont="1" applyBorder="1" applyAlignment="1">
      <alignment horizontal="center" vertical="center"/>
    </xf>
    <xf numFmtId="43" fontId="13" fillId="0" borderId="1" xfId="2" applyFont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 vertical="center"/>
    </xf>
    <xf numFmtId="43" fontId="17" fillId="0" borderId="1" xfId="2" applyFont="1" applyBorder="1" applyAlignment="1">
      <alignment horizontal="center" vertical="center"/>
    </xf>
    <xf numFmtId="43" fontId="15" fillId="0" borderId="1" xfId="2" applyFont="1" applyBorder="1" applyAlignment="1">
      <alignment horizontal="center" vertical="center"/>
    </xf>
    <xf numFmtId="43" fontId="23" fillId="0" borderId="1" xfId="2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9" fontId="14" fillId="0" borderId="1" xfId="1" applyFont="1" applyBorder="1" applyAlignment="1">
      <alignment horizontal="center" vertical="center"/>
    </xf>
    <xf numFmtId="0" fontId="13" fillId="0" borderId="1" xfId="2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25" fillId="0" borderId="1" xfId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9" fontId="18" fillId="0" borderId="1" xfId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9" fontId="24" fillId="0" borderId="1" xfId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9" fontId="13" fillId="0" borderId="1" xfId="2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center" vertical="center"/>
    </xf>
    <xf numFmtId="9" fontId="15" fillId="0" borderId="1" xfId="2" applyNumberFormat="1" applyFont="1" applyBorder="1" applyAlignment="1">
      <alignment horizontal="center" vertical="center"/>
    </xf>
    <xf numFmtId="9" fontId="17" fillId="0" borderId="1" xfId="2" applyNumberFormat="1" applyFont="1" applyBorder="1" applyAlignment="1">
      <alignment horizontal="center" vertical="center"/>
    </xf>
    <xf numFmtId="9" fontId="23" fillId="0" borderId="1" xfId="2" applyNumberFormat="1" applyFont="1" applyBorder="1" applyAlignment="1">
      <alignment horizontal="center" vertical="center"/>
    </xf>
    <xf numFmtId="0" fontId="26" fillId="0" borderId="0" xfId="0" applyFont="1"/>
    <xf numFmtId="0" fontId="19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7" fillId="0" borderId="1" xfId="0" applyFont="1" applyBorder="1"/>
    <xf numFmtId="0" fontId="9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0" fillId="0" borderId="1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1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9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DC1B1"/>
      <color rgb="FFFB8B6D"/>
      <color rgb="FFFEDFD6"/>
      <color rgb="FFF98E83"/>
      <color rgb="FFF422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88"/>
  <sheetViews>
    <sheetView tabSelected="1" workbookViewId="0">
      <selection activeCell="B7" sqref="B7:D8"/>
    </sheetView>
  </sheetViews>
  <sheetFormatPr defaultRowHeight="14.4" x14ac:dyDescent="0.3"/>
  <cols>
    <col min="1" max="1" width="5.33203125" style="2" customWidth="1"/>
    <col min="2" max="2" width="71" customWidth="1"/>
    <col min="3" max="3" width="11.6640625" customWidth="1"/>
    <col min="4" max="4" width="0.109375" style="1" hidden="1" customWidth="1"/>
    <col min="5" max="5" width="4.6640625" customWidth="1"/>
    <col min="6" max="6" width="16.6640625" customWidth="1"/>
    <col min="7" max="7" width="11.6640625" customWidth="1"/>
    <col min="8" max="8" width="8.109375" customWidth="1"/>
    <col min="9" max="9" width="9.5546875" customWidth="1"/>
    <col min="10" max="10" width="10.44140625" customWidth="1"/>
    <col min="11" max="11" width="6.88671875" customWidth="1"/>
    <col min="12" max="12" width="12.5546875" customWidth="1"/>
    <col min="13" max="13" width="15" customWidth="1"/>
    <col min="15" max="15" width="121.5546875" bestFit="1" customWidth="1"/>
  </cols>
  <sheetData>
    <row r="1" spans="1:14" ht="20.25" customHeight="1" x14ac:dyDescent="0.5">
      <c r="A1" s="59"/>
      <c r="B1" s="7" t="s">
        <v>19</v>
      </c>
      <c r="C1" s="63"/>
      <c r="D1" s="63"/>
      <c r="E1" s="63"/>
      <c r="F1" s="63"/>
      <c r="G1" s="63"/>
      <c r="H1" s="63"/>
      <c r="I1" s="63"/>
      <c r="J1" s="61" t="s">
        <v>20</v>
      </c>
      <c r="K1" s="61"/>
      <c r="L1" s="61"/>
      <c r="M1" s="62"/>
      <c r="N1" s="3"/>
    </row>
    <row r="2" spans="1:14" ht="17.25" customHeight="1" x14ac:dyDescent="0.35">
      <c r="A2" s="60"/>
      <c r="B2" s="79" t="s">
        <v>21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3"/>
    </row>
    <row r="3" spans="1:14" ht="9" customHeight="1" x14ac:dyDescent="0.35">
      <c r="A3" s="6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  <c r="N3" s="3"/>
    </row>
    <row r="4" spans="1:14" ht="27" customHeight="1" x14ac:dyDescent="0.3">
      <c r="A4" s="60"/>
      <c r="B4" s="76" t="s">
        <v>22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8"/>
    </row>
    <row r="5" spans="1:14" ht="63.6" customHeight="1" x14ac:dyDescent="0.3">
      <c r="A5" s="60"/>
      <c r="B5" s="74" t="s">
        <v>24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5"/>
    </row>
    <row r="6" spans="1:14" ht="21.75" customHeight="1" x14ac:dyDescent="0.3">
      <c r="A6" s="60"/>
      <c r="B6" s="6" t="s">
        <v>23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4" ht="36" customHeight="1" x14ac:dyDescent="0.3">
      <c r="A7" s="60"/>
      <c r="B7" s="64" t="s">
        <v>39</v>
      </c>
      <c r="C7" s="64"/>
      <c r="D7" s="64"/>
      <c r="E7" s="72"/>
      <c r="F7" s="72"/>
      <c r="G7" s="72"/>
      <c r="H7" s="72"/>
      <c r="I7" s="72"/>
      <c r="J7" s="66" t="s">
        <v>293</v>
      </c>
      <c r="K7" s="66"/>
      <c r="L7" s="66"/>
      <c r="M7" s="67"/>
    </row>
    <row r="8" spans="1:14" ht="47.25" customHeight="1" x14ac:dyDescent="0.3">
      <c r="A8" s="60"/>
      <c r="B8" s="65"/>
      <c r="C8" s="65"/>
      <c r="D8" s="65"/>
      <c r="E8" s="73"/>
      <c r="F8" s="73"/>
      <c r="G8" s="73"/>
      <c r="H8" s="73"/>
      <c r="I8" s="73"/>
      <c r="J8" s="68"/>
      <c r="K8" s="68"/>
      <c r="L8" s="68"/>
      <c r="M8" s="69"/>
    </row>
    <row r="9" spans="1:14" ht="15.6" x14ac:dyDescent="0.3">
      <c r="A9" s="8" t="s">
        <v>6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</row>
    <row r="10" spans="1:14" x14ac:dyDescent="0.3">
      <c r="A10" s="57" t="s">
        <v>0</v>
      </c>
      <c r="B10" s="57" t="s">
        <v>1</v>
      </c>
      <c r="C10" s="9" t="s">
        <v>5</v>
      </c>
      <c r="D10" s="86" t="s">
        <v>2</v>
      </c>
      <c r="E10" s="87"/>
      <c r="F10" s="58" t="s">
        <v>12</v>
      </c>
      <c r="G10" s="58"/>
      <c r="H10" s="58"/>
      <c r="I10" s="58"/>
      <c r="J10" s="58"/>
      <c r="K10" s="58"/>
      <c r="L10" s="58"/>
      <c r="M10" s="58"/>
    </row>
    <row r="11" spans="1:14" ht="24" customHeight="1" x14ac:dyDescent="0.3">
      <c r="A11" s="57"/>
      <c r="B11" s="57"/>
      <c r="C11" s="10" t="s">
        <v>14</v>
      </c>
      <c r="D11" s="86" t="s">
        <v>8</v>
      </c>
      <c r="E11" s="87"/>
      <c r="F11" s="83" t="s">
        <v>13</v>
      </c>
      <c r="G11" s="83" t="s">
        <v>17</v>
      </c>
      <c r="H11" s="83" t="s">
        <v>9</v>
      </c>
      <c r="I11" s="83"/>
      <c r="J11" s="11" t="s">
        <v>11</v>
      </c>
      <c r="K11" s="88" t="s">
        <v>18</v>
      </c>
      <c r="L11" s="88"/>
      <c r="M11" s="11" t="s">
        <v>15</v>
      </c>
    </row>
    <row r="12" spans="1:14" ht="28.8" x14ac:dyDescent="0.3">
      <c r="A12" s="57"/>
      <c r="B12" s="57"/>
      <c r="C12" s="10" t="s">
        <v>7</v>
      </c>
      <c r="D12" s="84" t="s">
        <v>16</v>
      </c>
      <c r="E12" s="85"/>
      <c r="F12" s="83"/>
      <c r="G12" s="83"/>
      <c r="H12" s="12" t="s">
        <v>3</v>
      </c>
      <c r="I12" s="12" t="s">
        <v>4</v>
      </c>
      <c r="J12" s="11" t="s">
        <v>25</v>
      </c>
      <c r="K12" s="12" t="s">
        <v>3</v>
      </c>
      <c r="L12" s="11" t="s">
        <v>26</v>
      </c>
      <c r="M12" s="13" t="s">
        <v>10</v>
      </c>
    </row>
    <row r="13" spans="1:14" ht="29.25" customHeight="1" x14ac:dyDescent="0.3">
      <c r="A13" s="21">
        <v>1</v>
      </c>
      <c r="B13" s="21" t="s">
        <v>222</v>
      </c>
      <c r="C13" s="14" t="s">
        <v>40</v>
      </c>
      <c r="D13" s="14"/>
      <c r="E13" s="14">
        <v>1</v>
      </c>
      <c r="F13" s="28">
        <v>2942</v>
      </c>
      <c r="G13" s="33">
        <f>F13*E13</f>
        <v>2942</v>
      </c>
      <c r="H13" s="37">
        <v>0.4</v>
      </c>
      <c r="I13" s="33">
        <f>G13*H13</f>
        <v>1176.8</v>
      </c>
      <c r="J13" s="33">
        <f>G13-I13</f>
        <v>1765.2</v>
      </c>
      <c r="K13" s="48">
        <v>0.18</v>
      </c>
      <c r="L13" s="39">
        <f>(J13*K13/100)</f>
        <v>3.1773599999999997</v>
      </c>
      <c r="M13" s="39">
        <f>(J13+L13)</f>
        <v>1768.37736</v>
      </c>
      <c r="N13" s="4"/>
    </row>
    <row r="14" spans="1:14" ht="32.25" customHeight="1" x14ac:dyDescent="0.3">
      <c r="A14" s="21">
        <v>2</v>
      </c>
      <c r="B14" s="22" t="s">
        <v>141</v>
      </c>
      <c r="C14" s="14"/>
      <c r="D14" s="14"/>
      <c r="E14" s="14"/>
      <c r="F14" s="28"/>
      <c r="G14" s="33">
        <f t="shared" ref="G14:G15" si="0">F14*E14</f>
        <v>0</v>
      </c>
      <c r="H14" s="37"/>
      <c r="I14" s="33">
        <f t="shared" ref="I14:I80" si="1">G14*H14</f>
        <v>0</v>
      </c>
      <c r="J14" s="33">
        <f t="shared" ref="J14:J80" si="2">G14-I14</f>
        <v>0</v>
      </c>
      <c r="K14" s="38"/>
      <c r="L14" s="39">
        <f t="shared" ref="L14:L80" si="3">(J14*K14/100)</f>
        <v>0</v>
      </c>
      <c r="M14" s="39">
        <f t="shared" ref="M14:M80" si="4">(J14+L14)</f>
        <v>0</v>
      </c>
      <c r="N14" s="4"/>
    </row>
    <row r="15" spans="1:14" ht="27.75" customHeight="1" x14ac:dyDescent="0.3">
      <c r="A15" s="21">
        <v>3</v>
      </c>
      <c r="B15" s="21" t="s">
        <v>46</v>
      </c>
      <c r="C15" s="14" t="s">
        <v>40</v>
      </c>
      <c r="D15" s="14"/>
      <c r="E15" s="14">
        <v>1</v>
      </c>
      <c r="F15" s="28">
        <v>1636</v>
      </c>
      <c r="G15" s="33">
        <f t="shared" si="0"/>
        <v>1636</v>
      </c>
      <c r="H15" s="37">
        <v>0.4</v>
      </c>
      <c r="I15" s="33">
        <f t="shared" si="1"/>
        <v>654.40000000000009</v>
      </c>
      <c r="J15" s="33">
        <f t="shared" si="2"/>
        <v>981.59999999999991</v>
      </c>
      <c r="K15" s="47">
        <v>0.18</v>
      </c>
      <c r="L15" s="39">
        <f t="shared" si="3"/>
        <v>1.7668799999999998</v>
      </c>
      <c r="M15" s="39">
        <f t="shared" si="4"/>
        <v>983.36687999999992</v>
      </c>
      <c r="N15" s="4"/>
    </row>
    <row r="16" spans="1:14" ht="29.25" customHeight="1" x14ac:dyDescent="0.3">
      <c r="A16" s="21">
        <v>4</v>
      </c>
      <c r="B16" s="21" t="s">
        <v>47</v>
      </c>
      <c r="C16" s="14" t="s">
        <v>30</v>
      </c>
      <c r="D16" s="14"/>
      <c r="E16" s="14">
        <v>2</v>
      </c>
      <c r="F16" s="28">
        <v>270</v>
      </c>
      <c r="G16" s="33">
        <f t="shared" ref="G16:G19" si="5">F16*E16</f>
        <v>540</v>
      </c>
      <c r="H16" s="37">
        <v>0.25</v>
      </c>
      <c r="I16" s="33">
        <f t="shared" si="1"/>
        <v>135</v>
      </c>
      <c r="J16" s="33">
        <f t="shared" si="2"/>
        <v>405</v>
      </c>
      <c r="K16" s="47">
        <v>0.18</v>
      </c>
      <c r="L16" s="39">
        <f t="shared" si="3"/>
        <v>0.72899999999999987</v>
      </c>
      <c r="M16" s="39">
        <f t="shared" si="4"/>
        <v>405.72899999999998</v>
      </c>
      <c r="N16" s="4"/>
    </row>
    <row r="17" spans="1:14" ht="27.75" customHeight="1" x14ac:dyDescent="0.3">
      <c r="A17" s="16">
        <v>5</v>
      </c>
      <c r="B17" s="16" t="s">
        <v>47</v>
      </c>
      <c r="C17" s="14" t="s">
        <v>30</v>
      </c>
      <c r="D17" s="14"/>
      <c r="E17" s="14">
        <v>2</v>
      </c>
      <c r="F17" s="28">
        <v>270</v>
      </c>
      <c r="G17" s="33">
        <f t="shared" si="5"/>
        <v>540</v>
      </c>
      <c r="H17" s="37">
        <v>0.25</v>
      </c>
      <c r="I17" s="33">
        <f t="shared" si="1"/>
        <v>135</v>
      </c>
      <c r="J17" s="33">
        <f t="shared" si="2"/>
        <v>405</v>
      </c>
      <c r="K17" s="47">
        <v>0.18</v>
      </c>
      <c r="L17" s="40">
        <f t="shared" si="3"/>
        <v>0.72899999999999987</v>
      </c>
      <c r="M17" s="40">
        <f t="shared" si="4"/>
        <v>405.72899999999998</v>
      </c>
      <c r="N17" s="4"/>
    </row>
    <row r="18" spans="1:14" ht="27.75" customHeight="1" x14ac:dyDescent="0.3">
      <c r="A18" s="16">
        <v>6</v>
      </c>
      <c r="B18" s="18" t="s">
        <v>250</v>
      </c>
      <c r="C18" s="14"/>
      <c r="D18" s="14"/>
      <c r="E18" s="14"/>
      <c r="F18" s="28"/>
      <c r="G18" s="33">
        <f t="shared" si="5"/>
        <v>0</v>
      </c>
      <c r="H18" s="37"/>
      <c r="I18" s="33">
        <f t="shared" si="1"/>
        <v>0</v>
      </c>
      <c r="J18" s="33">
        <f t="shared" si="2"/>
        <v>0</v>
      </c>
      <c r="K18" s="38"/>
      <c r="L18" s="40">
        <f t="shared" si="3"/>
        <v>0</v>
      </c>
      <c r="M18" s="40">
        <f t="shared" si="4"/>
        <v>0</v>
      </c>
      <c r="N18" s="4"/>
    </row>
    <row r="19" spans="1:14" ht="25.5" customHeight="1" x14ac:dyDescent="0.3">
      <c r="A19" s="16">
        <v>7</v>
      </c>
      <c r="B19" s="16" t="s">
        <v>223</v>
      </c>
      <c r="C19" s="14" t="s">
        <v>224</v>
      </c>
      <c r="D19" s="14"/>
      <c r="E19" s="14">
        <v>1</v>
      </c>
      <c r="F19" s="28">
        <v>3990</v>
      </c>
      <c r="G19" s="33">
        <f t="shared" si="5"/>
        <v>3990</v>
      </c>
      <c r="H19" s="37">
        <v>0.3</v>
      </c>
      <c r="I19" s="33">
        <f t="shared" si="1"/>
        <v>1197</v>
      </c>
      <c r="J19" s="33">
        <f t="shared" si="2"/>
        <v>2793</v>
      </c>
      <c r="K19" s="47">
        <v>0</v>
      </c>
      <c r="L19" s="40">
        <f t="shared" si="3"/>
        <v>0</v>
      </c>
      <c r="M19" s="40">
        <f t="shared" si="4"/>
        <v>2793</v>
      </c>
      <c r="N19" s="4"/>
    </row>
    <row r="20" spans="1:14" ht="30.75" customHeight="1" x14ac:dyDescent="0.3">
      <c r="A20" s="16">
        <v>8</v>
      </c>
      <c r="B20" s="16" t="s">
        <v>142</v>
      </c>
      <c r="C20" s="26" t="s">
        <v>30</v>
      </c>
      <c r="D20" s="14"/>
      <c r="E20" s="14">
        <v>1</v>
      </c>
      <c r="F20" s="28">
        <v>1800</v>
      </c>
      <c r="G20" s="33">
        <f t="shared" ref="G20:G23" si="6">F20*E20</f>
        <v>1800</v>
      </c>
      <c r="H20" s="37">
        <v>0.25</v>
      </c>
      <c r="I20" s="33">
        <f t="shared" si="1"/>
        <v>450</v>
      </c>
      <c r="J20" s="33">
        <f t="shared" si="2"/>
        <v>1350</v>
      </c>
      <c r="K20" s="47">
        <v>0.18</v>
      </c>
      <c r="L20" s="40">
        <f t="shared" si="3"/>
        <v>2.4300000000000002</v>
      </c>
      <c r="M20" s="40">
        <f t="shared" si="4"/>
        <v>1352.43</v>
      </c>
      <c r="N20" s="4"/>
    </row>
    <row r="21" spans="1:14" ht="30" customHeight="1" x14ac:dyDescent="0.3">
      <c r="A21" s="16">
        <v>9</v>
      </c>
      <c r="B21" s="16" t="s">
        <v>225</v>
      </c>
      <c r="C21" s="14" t="s">
        <v>226</v>
      </c>
      <c r="D21" s="14"/>
      <c r="E21" s="14">
        <v>1</v>
      </c>
      <c r="F21" s="28">
        <v>5705</v>
      </c>
      <c r="G21" s="33">
        <f t="shared" si="6"/>
        <v>5705</v>
      </c>
      <c r="H21" s="37">
        <v>0.2</v>
      </c>
      <c r="I21" s="33">
        <f t="shared" si="1"/>
        <v>1141</v>
      </c>
      <c r="J21" s="33">
        <f t="shared" si="2"/>
        <v>4564</v>
      </c>
      <c r="K21" s="47">
        <v>0</v>
      </c>
      <c r="L21" s="40">
        <f t="shared" si="3"/>
        <v>0</v>
      </c>
      <c r="M21" s="40">
        <f t="shared" si="4"/>
        <v>4564</v>
      </c>
      <c r="N21" s="4"/>
    </row>
    <row r="22" spans="1:14" ht="30" customHeight="1" x14ac:dyDescent="0.3">
      <c r="A22" s="16">
        <v>10</v>
      </c>
      <c r="B22" s="16" t="s">
        <v>251</v>
      </c>
      <c r="C22" s="14" t="s">
        <v>31</v>
      </c>
      <c r="D22" s="14"/>
      <c r="E22" s="14">
        <v>1</v>
      </c>
      <c r="F22" s="28">
        <v>3120</v>
      </c>
      <c r="G22" s="33">
        <f t="shared" si="6"/>
        <v>3120</v>
      </c>
      <c r="H22" s="37">
        <v>0.4</v>
      </c>
      <c r="I22" s="33">
        <f t="shared" si="1"/>
        <v>1248</v>
      </c>
      <c r="J22" s="33">
        <f t="shared" si="2"/>
        <v>1872</v>
      </c>
      <c r="K22" s="47">
        <v>0.18</v>
      </c>
      <c r="L22" s="40">
        <f t="shared" si="3"/>
        <v>3.3695999999999997</v>
      </c>
      <c r="M22" s="40">
        <f t="shared" si="4"/>
        <v>1875.3696</v>
      </c>
      <c r="N22" s="4"/>
    </row>
    <row r="23" spans="1:14" ht="27.75" customHeight="1" x14ac:dyDescent="0.3">
      <c r="A23" s="16">
        <v>11</v>
      </c>
      <c r="B23" s="16" t="s">
        <v>41</v>
      </c>
      <c r="C23" s="14" t="s">
        <v>31</v>
      </c>
      <c r="D23" s="14"/>
      <c r="E23" s="14">
        <v>1</v>
      </c>
      <c r="F23" s="28">
        <v>500</v>
      </c>
      <c r="G23" s="33">
        <f t="shared" si="6"/>
        <v>500</v>
      </c>
      <c r="H23" s="37">
        <v>0.4</v>
      </c>
      <c r="I23" s="33">
        <f t="shared" si="1"/>
        <v>200</v>
      </c>
      <c r="J23" s="33">
        <f t="shared" si="2"/>
        <v>300</v>
      </c>
      <c r="K23" s="47">
        <v>0.18</v>
      </c>
      <c r="L23" s="40">
        <f t="shared" si="3"/>
        <v>0.54</v>
      </c>
      <c r="M23" s="40">
        <f t="shared" si="4"/>
        <v>300.54000000000002</v>
      </c>
      <c r="N23" s="4"/>
    </row>
    <row r="24" spans="1:14" ht="31.5" customHeight="1" x14ac:dyDescent="0.3">
      <c r="A24" s="16">
        <v>12</v>
      </c>
      <c r="B24" s="16" t="s">
        <v>48</v>
      </c>
      <c r="C24" s="14" t="s">
        <v>30</v>
      </c>
      <c r="D24" s="14"/>
      <c r="E24" s="14">
        <v>1</v>
      </c>
      <c r="F24" s="28">
        <v>520</v>
      </c>
      <c r="G24" s="33">
        <f t="shared" ref="G24:G35" si="7">F24*E24</f>
        <v>520</v>
      </c>
      <c r="H24" s="37">
        <v>0.25</v>
      </c>
      <c r="I24" s="33">
        <f t="shared" si="1"/>
        <v>130</v>
      </c>
      <c r="J24" s="33">
        <f t="shared" si="2"/>
        <v>390</v>
      </c>
      <c r="K24" s="47">
        <v>0.18</v>
      </c>
      <c r="L24" s="40">
        <f t="shared" si="3"/>
        <v>0.70200000000000007</v>
      </c>
      <c r="M24" s="40">
        <f t="shared" si="4"/>
        <v>390.702</v>
      </c>
      <c r="N24" s="4"/>
    </row>
    <row r="25" spans="1:14" ht="33.75" customHeight="1" x14ac:dyDescent="0.3">
      <c r="A25" s="16">
        <v>13</v>
      </c>
      <c r="B25" s="16" t="s">
        <v>42</v>
      </c>
      <c r="C25" s="14" t="s">
        <v>31</v>
      </c>
      <c r="D25" s="14"/>
      <c r="E25" s="14">
        <v>1</v>
      </c>
      <c r="F25" s="28">
        <v>1080</v>
      </c>
      <c r="G25" s="33">
        <f t="shared" si="7"/>
        <v>1080</v>
      </c>
      <c r="H25" s="37">
        <v>0.4</v>
      </c>
      <c r="I25" s="33">
        <f t="shared" si="1"/>
        <v>432</v>
      </c>
      <c r="J25" s="33">
        <f t="shared" si="2"/>
        <v>648</v>
      </c>
      <c r="K25" s="47">
        <v>0.05</v>
      </c>
      <c r="L25" s="40">
        <f t="shared" si="3"/>
        <v>0.32400000000000001</v>
      </c>
      <c r="M25" s="40">
        <f t="shared" si="4"/>
        <v>648.32399999999996</v>
      </c>
      <c r="N25" s="4"/>
    </row>
    <row r="26" spans="1:14" ht="26.1" customHeight="1" x14ac:dyDescent="0.3">
      <c r="A26" s="16">
        <v>14</v>
      </c>
      <c r="B26" s="16" t="s">
        <v>43</v>
      </c>
      <c r="C26" s="14" t="s">
        <v>30</v>
      </c>
      <c r="D26" s="14"/>
      <c r="E26" s="14">
        <v>1</v>
      </c>
      <c r="F26" s="28">
        <v>310</v>
      </c>
      <c r="G26" s="33">
        <f t="shared" si="7"/>
        <v>310</v>
      </c>
      <c r="H26" s="37">
        <v>0.25</v>
      </c>
      <c r="I26" s="33">
        <f t="shared" si="1"/>
        <v>77.5</v>
      </c>
      <c r="J26" s="33">
        <f t="shared" si="2"/>
        <v>232.5</v>
      </c>
      <c r="K26" s="47">
        <v>0.18</v>
      </c>
      <c r="L26" s="40">
        <f t="shared" si="3"/>
        <v>0.41850000000000004</v>
      </c>
      <c r="M26" s="40">
        <f t="shared" si="4"/>
        <v>232.91849999999999</v>
      </c>
      <c r="N26" s="4"/>
    </row>
    <row r="27" spans="1:14" ht="26.1" customHeight="1" x14ac:dyDescent="0.3">
      <c r="A27" s="16">
        <v>15</v>
      </c>
      <c r="B27" s="16" t="s">
        <v>49</v>
      </c>
      <c r="C27" s="14" t="s">
        <v>30</v>
      </c>
      <c r="D27" s="14"/>
      <c r="E27" s="14">
        <v>1</v>
      </c>
      <c r="F27" s="28">
        <v>290</v>
      </c>
      <c r="G27" s="33">
        <f t="shared" si="7"/>
        <v>290</v>
      </c>
      <c r="H27" s="37">
        <v>0.25</v>
      </c>
      <c r="I27" s="33">
        <f t="shared" si="1"/>
        <v>72.5</v>
      </c>
      <c r="J27" s="33">
        <f t="shared" si="2"/>
        <v>217.5</v>
      </c>
      <c r="K27" s="47">
        <v>0.18</v>
      </c>
      <c r="L27" s="40">
        <f t="shared" si="3"/>
        <v>0.39149999999999996</v>
      </c>
      <c r="M27" s="40">
        <f t="shared" si="4"/>
        <v>217.89150000000001</v>
      </c>
      <c r="N27" s="4"/>
    </row>
    <row r="28" spans="1:14" ht="29.25" customHeight="1" x14ac:dyDescent="0.3">
      <c r="A28" s="16">
        <v>16</v>
      </c>
      <c r="B28" s="16" t="s">
        <v>50</v>
      </c>
      <c r="C28" s="14" t="s">
        <v>30</v>
      </c>
      <c r="D28" s="14"/>
      <c r="E28" s="14">
        <v>1</v>
      </c>
      <c r="F28" s="28">
        <v>750</v>
      </c>
      <c r="G28" s="33">
        <f t="shared" si="7"/>
        <v>750</v>
      </c>
      <c r="H28" s="37">
        <v>0.25</v>
      </c>
      <c r="I28" s="33">
        <f t="shared" si="1"/>
        <v>187.5</v>
      </c>
      <c r="J28" s="33">
        <f t="shared" si="2"/>
        <v>562.5</v>
      </c>
      <c r="K28" s="47">
        <v>0.18</v>
      </c>
      <c r="L28" s="40">
        <f t="shared" si="3"/>
        <v>1.0125</v>
      </c>
      <c r="M28" s="40">
        <f t="shared" si="4"/>
        <v>563.51250000000005</v>
      </c>
      <c r="N28" s="4"/>
    </row>
    <row r="29" spans="1:14" ht="26.1" customHeight="1" x14ac:dyDescent="0.3">
      <c r="A29" s="16">
        <v>17</v>
      </c>
      <c r="B29" s="16" t="s">
        <v>140</v>
      </c>
      <c r="C29" s="14"/>
      <c r="D29" s="14"/>
      <c r="E29" s="14"/>
      <c r="F29" s="28"/>
      <c r="G29" s="33">
        <f t="shared" si="7"/>
        <v>0</v>
      </c>
      <c r="H29" s="37"/>
      <c r="I29" s="33">
        <f t="shared" si="1"/>
        <v>0</v>
      </c>
      <c r="J29" s="33">
        <f t="shared" si="2"/>
        <v>0</v>
      </c>
      <c r="K29" s="38"/>
      <c r="L29" s="40">
        <f t="shared" si="3"/>
        <v>0</v>
      </c>
      <c r="M29" s="40">
        <f t="shared" si="4"/>
        <v>0</v>
      </c>
      <c r="N29" s="4"/>
    </row>
    <row r="30" spans="1:14" ht="30" customHeight="1" x14ac:dyDescent="0.3">
      <c r="A30" s="16">
        <v>18</v>
      </c>
      <c r="B30" s="16" t="s">
        <v>44</v>
      </c>
      <c r="C30" s="14" t="s">
        <v>30</v>
      </c>
      <c r="D30" s="14"/>
      <c r="E30" s="14">
        <v>1</v>
      </c>
      <c r="F30" s="28">
        <v>580</v>
      </c>
      <c r="G30" s="33">
        <f t="shared" si="7"/>
        <v>580</v>
      </c>
      <c r="H30" s="37">
        <v>0.25</v>
      </c>
      <c r="I30" s="33">
        <f t="shared" si="1"/>
        <v>145</v>
      </c>
      <c r="J30" s="33">
        <f t="shared" si="2"/>
        <v>435</v>
      </c>
      <c r="K30" s="47">
        <v>0.18</v>
      </c>
      <c r="L30" s="40">
        <f t="shared" si="3"/>
        <v>0.78299999999999992</v>
      </c>
      <c r="M30" s="40">
        <f t="shared" si="4"/>
        <v>435.78300000000002</v>
      </c>
      <c r="N30" s="4"/>
    </row>
    <row r="31" spans="1:14" ht="21.75" customHeight="1" x14ac:dyDescent="0.3">
      <c r="A31" s="16">
        <v>19</v>
      </c>
      <c r="B31" s="16" t="s">
        <v>51</v>
      </c>
      <c r="C31" s="14" t="s">
        <v>28</v>
      </c>
      <c r="D31" s="14"/>
      <c r="E31" s="14">
        <v>1</v>
      </c>
      <c r="F31" s="28">
        <v>6630</v>
      </c>
      <c r="G31" s="33">
        <f t="shared" si="7"/>
        <v>6630</v>
      </c>
      <c r="H31" s="37">
        <v>0.4</v>
      </c>
      <c r="I31" s="33">
        <f t="shared" si="1"/>
        <v>2652</v>
      </c>
      <c r="J31" s="33">
        <f t="shared" si="2"/>
        <v>3978</v>
      </c>
      <c r="K31" s="47">
        <v>0.18</v>
      </c>
      <c r="L31" s="40">
        <f t="shared" si="3"/>
        <v>7.1603999999999992</v>
      </c>
      <c r="M31" s="40">
        <f t="shared" si="4"/>
        <v>3985.1604000000002</v>
      </c>
      <c r="N31" s="4"/>
    </row>
    <row r="32" spans="1:14" ht="26.1" customHeight="1" x14ac:dyDescent="0.3">
      <c r="A32" s="16">
        <v>20</v>
      </c>
      <c r="B32" s="16" t="s">
        <v>52</v>
      </c>
      <c r="C32" s="14" t="s">
        <v>30</v>
      </c>
      <c r="D32" s="14"/>
      <c r="E32" s="14">
        <v>1</v>
      </c>
      <c r="F32" s="28">
        <v>210</v>
      </c>
      <c r="G32" s="33">
        <f t="shared" si="7"/>
        <v>210</v>
      </c>
      <c r="H32" s="37">
        <v>0.25</v>
      </c>
      <c r="I32" s="33">
        <f t="shared" si="1"/>
        <v>52.5</v>
      </c>
      <c r="J32" s="33">
        <f t="shared" si="2"/>
        <v>157.5</v>
      </c>
      <c r="K32" s="47">
        <v>0.05</v>
      </c>
      <c r="L32" s="40">
        <f t="shared" si="3"/>
        <v>7.8750000000000001E-2</v>
      </c>
      <c r="M32" s="40">
        <f t="shared" si="4"/>
        <v>157.57875000000001</v>
      </c>
      <c r="N32" s="4"/>
    </row>
    <row r="33" spans="1:14" ht="26.1" customHeight="1" x14ac:dyDescent="0.3">
      <c r="A33" s="16">
        <v>21</v>
      </c>
      <c r="B33" s="16" t="s">
        <v>53</v>
      </c>
      <c r="C33" s="14" t="s">
        <v>30</v>
      </c>
      <c r="D33" s="14"/>
      <c r="E33" s="14">
        <v>1</v>
      </c>
      <c r="F33" s="28">
        <v>400</v>
      </c>
      <c r="G33" s="33">
        <f t="shared" si="7"/>
        <v>400</v>
      </c>
      <c r="H33" s="37">
        <v>0.25</v>
      </c>
      <c r="I33" s="33">
        <f t="shared" si="1"/>
        <v>100</v>
      </c>
      <c r="J33" s="33">
        <f t="shared" si="2"/>
        <v>300</v>
      </c>
      <c r="K33" s="47">
        <v>0.18</v>
      </c>
      <c r="L33" s="40">
        <f t="shared" si="3"/>
        <v>0.54</v>
      </c>
      <c r="M33" s="40">
        <f t="shared" si="4"/>
        <v>300.54000000000002</v>
      </c>
      <c r="N33" s="4"/>
    </row>
    <row r="34" spans="1:14" ht="26.1" customHeight="1" x14ac:dyDescent="0.3">
      <c r="A34" s="16">
        <v>22</v>
      </c>
      <c r="B34" s="16" t="s">
        <v>45</v>
      </c>
      <c r="C34" s="14" t="s">
        <v>30</v>
      </c>
      <c r="D34" s="14"/>
      <c r="E34" s="14">
        <v>2</v>
      </c>
      <c r="F34" s="28">
        <v>650</v>
      </c>
      <c r="G34" s="33">
        <f t="shared" si="7"/>
        <v>1300</v>
      </c>
      <c r="H34" s="37">
        <v>0.25</v>
      </c>
      <c r="I34" s="33">
        <f t="shared" si="1"/>
        <v>325</v>
      </c>
      <c r="J34" s="33">
        <f t="shared" si="2"/>
        <v>975</v>
      </c>
      <c r="K34" s="47">
        <v>0.18</v>
      </c>
      <c r="L34" s="40">
        <f t="shared" si="3"/>
        <v>1.7549999999999999</v>
      </c>
      <c r="M34" s="40">
        <f t="shared" si="4"/>
        <v>976.755</v>
      </c>
      <c r="N34" s="4"/>
    </row>
    <row r="35" spans="1:14" ht="26.1" customHeight="1" x14ac:dyDescent="0.3">
      <c r="A35" s="16">
        <v>23</v>
      </c>
      <c r="B35" s="16" t="s">
        <v>254</v>
      </c>
      <c r="C35" s="14" t="s">
        <v>31</v>
      </c>
      <c r="D35" s="14"/>
      <c r="E35" s="14">
        <v>1</v>
      </c>
      <c r="F35" s="28">
        <v>1080</v>
      </c>
      <c r="G35" s="33">
        <f t="shared" si="7"/>
        <v>1080</v>
      </c>
      <c r="H35" s="37">
        <v>0.4</v>
      </c>
      <c r="I35" s="33">
        <f t="shared" si="1"/>
        <v>432</v>
      </c>
      <c r="J35" s="33">
        <f t="shared" si="2"/>
        <v>648</v>
      </c>
      <c r="K35" s="47">
        <v>0.18</v>
      </c>
      <c r="L35" s="40">
        <f t="shared" si="3"/>
        <v>1.1664000000000001</v>
      </c>
      <c r="M35" s="40">
        <f t="shared" si="4"/>
        <v>649.16639999999995</v>
      </c>
      <c r="N35" s="4"/>
    </row>
    <row r="36" spans="1:14" ht="26.1" customHeight="1" x14ac:dyDescent="0.3">
      <c r="A36" s="16">
        <v>24</v>
      </c>
      <c r="B36" s="16" t="s">
        <v>54</v>
      </c>
      <c r="C36" s="14" t="s">
        <v>30</v>
      </c>
      <c r="D36" s="14"/>
      <c r="E36" s="14">
        <v>3</v>
      </c>
      <c r="F36" s="28">
        <v>800</v>
      </c>
      <c r="G36" s="33">
        <f t="shared" ref="G36:G87" si="8">F36*E36</f>
        <v>2400</v>
      </c>
      <c r="H36" s="37">
        <v>0.25</v>
      </c>
      <c r="I36" s="33">
        <f t="shared" si="1"/>
        <v>600</v>
      </c>
      <c r="J36" s="33">
        <f t="shared" si="2"/>
        <v>1800</v>
      </c>
      <c r="K36" s="47">
        <v>0.18</v>
      </c>
      <c r="L36" s="40">
        <f t="shared" si="3"/>
        <v>3.24</v>
      </c>
      <c r="M36" s="40">
        <f t="shared" si="4"/>
        <v>1803.24</v>
      </c>
      <c r="N36" s="4"/>
    </row>
    <row r="37" spans="1:14" ht="29.25" customHeight="1" x14ac:dyDescent="0.3">
      <c r="A37" s="16">
        <v>25</v>
      </c>
      <c r="B37" s="16" t="s">
        <v>55</v>
      </c>
      <c r="C37" s="14" t="s">
        <v>31</v>
      </c>
      <c r="D37" s="14"/>
      <c r="E37" s="14">
        <v>9</v>
      </c>
      <c r="F37" s="28">
        <v>2160</v>
      </c>
      <c r="G37" s="33">
        <f t="shared" si="8"/>
        <v>19440</v>
      </c>
      <c r="H37" s="37">
        <v>0.4</v>
      </c>
      <c r="I37" s="33">
        <f t="shared" si="1"/>
        <v>7776</v>
      </c>
      <c r="J37" s="33">
        <f t="shared" si="2"/>
        <v>11664</v>
      </c>
      <c r="K37" s="47">
        <v>0.18</v>
      </c>
      <c r="L37" s="40">
        <f t="shared" si="3"/>
        <v>20.995200000000001</v>
      </c>
      <c r="M37" s="40">
        <f t="shared" si="4"/>
        <v>11684.995199999999</v>
      </c>
      <c r="N37" s="4"/>
    </row>
    <row r="38" spans="1:14" ht="26.1" customHeight="1" x14ac:dyDescent="0.3">
      <c r="A38" s="18">
        <v>26</v>
      </c>
      <c r="B38" s="18" t="s">
        <v>36</v>
      </c>
      <c r="C38" s="15" t="s">
        <v>31</v>
      </c>
      <c r="D38" s="15"/>
      <c r="E38" s="15">
        <v>1</v>
      </c>
      <c r="F38" s="29">
        <v>35000</v>
      </c>
      <c r="G38" s="34">
        <f t="shared" si="8"/>
        <v>35000</v>
      </c>
      <c r="H38" s="41">
        <v>0.4</v>
      </c>
      <c r="I38" s="34">
        <f t="shared" si="1"/>
        <v>14000</v>
      </c>
      <c r="J38" s="34">
        <f t="shared" si="2"/>
        <v>21000</v>
      </c>
      <c r="K38" s="49">
        <v>0.05</v>
      </c>
      <c r="L38" s="42">
        <f t="shared" si="3"/>
        <v>10.5</v>
      </c>
      <c r="M38" s="42">
        <f t="shared" si="4"/>
        <v>21010.5</v>
      </c>
      <c r="N38" s="4"/>
    </row>
    <row r="39" spans="1:14" ht="26.1" customHeight="1" x14ac:dyDescent="0.3">
      <c r="A39" s="16">
        <v>27</v>
      </c>
      <c r="B39" s="16" t="s">
        <v>56</v>
      </c>
      <c r="C39" s="14" t="s">
        <v>30</v>
      </c>
      <c r="D39" s="14"/>
      <c r="E39" s="14">
        <v>1</v>
      </c>
      <c r="F39" s="28">
        <v>410</v>
      </c>
      <c r="G39" s="33">
        <f t="shared" si="8"/>
        <v>410</v>
      </c>
      <c r="H39" s="37">
        <v>0.25</v>
      </c>
      <c r="I39" s="33">
        <f t="shared" si="1"/>
        <v>102.5</v>
      </c>
      <c r="J39" s="33">
        <f t="shared" si="2"/>
        <v>307.5</v>
      </c>
      <c r="K39" s="47">
        <v>0.18</v>
      </c>
      <c r="L39" s="40">
        <f t="shared" si="3"/>
        <v>0.55349999999999999</v>
      </c>
      <c r="M39" s="40">
        <f t="shared" si="4"/>
        <v>308.05349999999999</v>
      </c>
      <c r="N39" s="4"/>
    </row>
    <row r="40" spans="1:14" ht="26.1" customHeight="1" x14ac:dyDescent="0.3">
      <c r="A40" s="16">
        <v>28</v>
      </c>
      <c r="B40" s="16" t="s">
        <v>57</v>
      </c>
      <c r="C40" s="14" t="s">
        <v>38</v>
      </c>
      <c r="D40" s="14"/>
      <c r="E40" s="14">
        <v>1</v>
      </c>
      <c r="F40" s="28">
        <v>550</v>
      </c>
      <c r="G40" s="33">
        <f t="shared" si="8"/>
        <v>550</v>
      </c>
      <c r="H40" s="37">
        <v>0.25</v>
      </c>
      <c r="I40" s="33">
        <f t="shared" si="1"/>
        <v>137.5</v>
      </c>
      <c r="J40" s="33">
        <f t="shared" si="2"/>
        <v>412.5</v>
      </c>
      <c r="K40" s="47">
        <v>0.18</v>
      </c>
      <c r="L40" s="40">
        <f t="shared" si="3"/>
        <v>0.74250000000000005</v>
      </c>
      <c r="M40" s="40">
        <f t="shared" si="4"/>
        <v>413.24250000000001</v>
      </c>
      <c r="N40" s="4"/>
    </row>
    <row r="41" spans="1:14" ht="26.1" customHeight="1" x14ac:dyDescent="0.3">
      <c r="A41" s="16">
        <v>29</v>
      </c>
      <c r="B41" s="16" t="s">
        <v>58</v>
      </c>
      <c r="C41" s="14" t="s">
        <v>30</v>
      </c>
      <c r="D41" s="14"/>
      <c r="E41" s="14">
        <v>1</v>
      </c>
      <c r="F41" s="28">
        <v>320</v>
      </c>
      <c r="G41" s="33">
        <f t="shared" si="8"/>
        <v>320</v>
      </c>
      <c r="H41" s="37">
        <v>0.25</v>
      </c>
      <c r="I41" s="33">
        <f t="shared" si="1"/>
        <v>80</v>
      </c>
      <c r="J41" s="33">
        <f t="shared" si="2"/>
        <v>240</v>
      </c>
      <c r="K41" s="47">
        <v>0.18</v>
      </c>
      <c r="L41" s="40">
        <f t="shared" si="3"/>
        <v>0.43199999999999994</v>
      </c>
      <c r="M41" s="40">
        <f t="shared" si="4"/>
        <v>240.43199999999999</v>
      </c>
      <c r="N41" s="4"/>
    </row>
    <row r="42" spans="1:14" ht="26.1" customHeight="1" x14ac:dyDescent="0.3">
      <c r="A42" s="16">
        <v>30</v>
      </c>
      <c r="B42" s="16" t="s">
        <v>59</v>
      </c>
      <c r="C42" s="14" t="s">
        <v>31</v>
      </c>
      <c r="D42" s="14"/>
      <c r="E42" s="14">
        <v>1</v>
      </c>
      <c r="F42" s="28">
        <v>2160</v>
      </c>
      <c r="G42" s="33">
        <f t="shared" si="8"/>
        <v>2160</v>
      </c>
      <c r="H42" s="37">
        <v>0.4</v>
      </c>
      <c r="I42" s="33">
        <f t="shared" si="1"/>
        <v>864</v>
      </c>
      <c r="J42" s="33">
        <f t="shared" si="2"/>
        <v>1296</v>
      </c>
      <c r="K42" s="47">
        <v>0.05</v>
      </c>
      <c r="L42" s="40">
        <f t="shared" si="3"/>
        <v>0.64800000000000002</v>
      </c>
      <c r="M42" s="40">
        <f t="shared" si="4"/>
        <v>1296.6479999999999</v>
      </c>
      <c r="N42" s="4"/>
    </row>
    <row r="43" spans="1:14" ht="26.1" customHeight="1" x14ac:dyDescent="0.3">
      <c r="A43" s="16">
        <v>31</v>
      </c>
      <c r="B43" s="16" t="s">
        <v>60</v>
      </c>
      <c r="C43" s="14" t="s">
        <v>38</v>
      </c>
      <c r="D43" s="14"/>
      <c r="E43" s="14">
        <v>4</v>
      </c>
      <c r="F43" s="28">
        <v>268</v>
      </c>
      <c r="G43" s="33">
        <f t="shared" si="8"/>
        <v>1072</v>
      </c>
      <c r="H43" s="37">
        <v>0.25</v>
      </c>
      <c r="I43" s="33">
        <f t="shared" si="1"/>
        <v>268</v>
      </c>
      <c r="J43" s="33">
        <f t="shared" si="2"/>
        <v>804</v>
      </c>
      <c r="K43" s="47">
        <v>0.05</v>
      </c>
      <c r="L43" s="40">
        <f t="shared" si="3"/>
        <v>0.40200000000000002</v>
      </c>
      <c r="M43" s="40">
        <f t="shared" si="4"/>
        <v>804.40200000000004</v>
      </c>
      <c r="N43" s="4"/>
    </row>
    <row r="44" spans="1:14" ht="26.1" customHeight="1" x14ac:dyDescent="0.3">
      <c r="A44" s="16">
        <v>32</v>
      </c>
      <c r="B44" s="16" t="s">
        <v>61</v>
      </c>
      <c r="C44" s="14" t="s">
        <v>38</v>
      </c>
      <c r="D44" s="14"/>
      <c r="E44" s="14">
        <v>4</v>
      </c>
      <c r="F44" s="28">
        <v>464</v>
      </c>
      <c r="G44" s="33">
        <f t="shared" si="8"/>
        <v>1856</v>
      </c>
      <c r="H44" s="37">
        <v>0.25</v>
      </c>
      <c r="I44" s="33">
        <f t="shared" si="1"/>
        <v>464</v>
      </c>
      <c r="J44" s="33">
        <f t="shared" si="2"/>
        <v>1392</v>
      </c>
      <c r="K44" s="47">
        <v>0.05</v>
      </c>
      <c r="L44" s="40">
        <f t="shared" si="3"/>
        <v>0.69600000000000006</v>
      </c>
      <c r="M44" s="40">
        <f t="shared" si="4"/>
        <v>1392.6959999999999</v>
      </c>
      <c r="N44" s="4"/>
    </row>
    <row r="45" spans="1:14" ht="26.1" customHeight="1" x14ac:dyDescent="0.3">
      <c r="A45" s="16">
        <v>33</v>
      </c>
      <c r="B45" s="16" t="s">
        <v>62</v>
      </c>
      <c r="C45" s="14" t="s">
        <v>38</v>
      </c>
      <c r="D45" s="14"/>
      <c r="E45" s="14">
        <v>2</v>
      </c>
      <c r="F45" s="28">
        <v>580</v>
      </c>
      <c r="G45" s="33">
        <f t="shared" si="8"/>
        <v>1160</v>
      </c>
      <c r="H45" s="37">
        <v>0.25</v>
      </c>
      <c r="I45" s="33">
        <f t="shared" si="1"/>
        <v>290</v>
      </c>
      <c r="J45" s="33">
        <f t="shared" si="2"/>
        <v>870</v>
      </c>
      <c r="K45" s="47">
        <v>0.18</v>
      </c>
      <c r="L45" s="40">
        <f t="shared" si="3"/>
        <v>1.5659999999999998</v>
      </c>
      <c r="M45" s="40">
        <f t="shared" si="4"/>
        <v>871.56600000000003</v>
      </c>
      <c r="N45" s="4"/>
    </row>
    <row r="46" spans="1:14" ht="26.1" customHeight="1" x14ac:dyDescent="0.3">
      <c r="A46" s="16">
        <v>34</v>
      </c>
      <c r="B46" s="16" t="s">
        <v>62</v>
      </c>
      <c r="C46" s="14" t="s">
        <v>30</v>
      </c>
      <c r="D46" s="14"/>
      <c r="E46" s="14">
        <v>4</v>
      </c>
      <c r="F46" s="28">
        <v>580</v>
      </c>
      <c r="G46" s="33">
        <f t="shared" si="8"/>
        <v>2320</v>
      </c>
      <c r="H46" s="37">
        <v>0.25</v>
      </c>
      <c r="I46" s="33">
        <f t="shared" si="1"/>
        <v>580</v>
      </c>
      <c r="J46" s="33">
        <f t="shared" si="2"/>
        <v>1740</v>
      </c>
      <c r="K46" s="47">
        <v>0.18</v>
      </c>
      <c r="L46" s="40">
        <f t="shared" si="3"/>
        <v>3.1319999999999997</v>
      </c>
      <c r="M46" s="40">
        <f t="shared" si="4"/>
        <v>1743.1320000000001</v>
      </c>
      <c r="N46" s="4"/>
    </row>
    <row r="47" spans="1:14" ht="26.1" customHeight="1" x14ac:dyDescent="0.3">
      <c r="A47" s="16">
        <v>35</v>
      </c>
      <c r="B47" s="16" t="s">
        <v>63</v>
      </c>
      <c r="C47" s="14" t="s">
        <v>31</v>
      </c>
      <c r="D47" s="14"/>
      <c r="E47" s="14">
        <v>1</v>
      </c>
      <c r="F47" s="28">
        <v>700</v>
      </c>
      <c r="G47" s="33">
        <f t="shared" si="8"/>
        <v>700</v>
      </c>
      <c r="H47" s="37">
        <v>0.4</v>
      </c>
      <c r="I47" s="33">
        <f t="shared" si="1"/>
        <v>280</v>
      </c>
      <c r="J47" s="33">
        <f t="shared" si="2"/>
        <v>420</v>
      </c>
      <c r="K47" s="47">
        <v>0.05</v>
      </c>
      <c r="L47" s="40">
        <f t="shared" si="3"/>
        <v>0.21</v>
      </c>
      <c r="M47" s="40">
        <f t="shared" si="4"/>
        <v>420.21</v>
      </c>
      <c r="N47" s="4"/>
    </row>
    <row r="48" spans="1:14" ht="24" customHeight="1" x14ac:dyDescent="0.3">
      <c r="A48" s="16">
        <v>36</v>
      </c>
      <c r="B48" s="16" t="s">
        <v>64</v>
      </c>
      <c r="C48" s="14" t="s">
        <v>30</v>
      </c>
      <c r="D48" s="14"/>
      <c r="E48" s="14">
        <v>1</v>
      </c>
      <c r="F48" s="28">
        <v>330</v>
      </c>
      <c r="G48" s="33">
        <f t="shared" si="8"/>
        <v>330</v>
      </c>
      <c r="H48" s="37">
        <v>0.25</v>
      </c>
      <c r="I48" s="33">
        <f t="shared" si="1"/>
        <v>82.5</v>
      </c>
      <c r="J48" s="33">
        <f t="shared" si="2"/>
        <v>247.5</v>
      </c>
      <c r="K48" s="47">
        <v>0.18</v>
      </c>
      <c r="L48" s="40">
        <f t="shared" si="3"/>
        <v>0.44549999999999995</v>
      </c>
      <c r="M48" s="40">
        <f t="shared" si="4"/>
        <v>247.94550000000001</v>
      </c>
      <c r="N48" s="4"/>
    </row>
    <row r="49" spans="1:14" ht="24" customHeight="1" x14ac:dyDescent="0.3">
      <c r="A49" s="16">
        <v>37</v>
      </c>
      <c r="B49" s="16" t="s">
        <v>65</v>
      </c>
      <c r="C49" s="19" t="s">
        <v>30</v>
      </c>
      <c r="D49" s="19"/>
      <c r="E49" s="19">
        <v>1</v>
      </c>
      <c r="F49" s="30">
        <v>680</v>
      </c>
      <c r="G49" s="35">
        <f t="shared" si="8"/>
        <v>680</v>
      </c>
      <c r="H49" s="43">
        <v>0.25</v>
      </c>
      <c r="I49" s="35">
        <f t="shared" si="1"/>
        <v>170</v>
      </c>
      <c r="J49" s="35">
        <f t="shared" si="2"/>
        <v>510</v>
      </c>
      <c r="K49" s="50">
        <v>0.18</v>
      </c>
      <c r="L49" s="44">
        <f t="shared" si="3"/>
        <v>0.91799999999999993</v>
      </c>
      <c r="M49" s="40">
        <f t="shared" si="4"/>
        <v>510.91800000000001</v>
      </c>
      <c r="N49" s="4"/>
    </row>
    <row r="50" spans="1:14" ht="24" customHeight="1" x14ac:dyDescent="0.3">
      <c r="A50" s="16">
        <v>38</v>
      </c>
      <c r="B50" s="16" t="s">
        <v>33</v>
      </c>
      <c r="C50" s="14" t="s">
        <v>27</v>
      </c>
      <c r="D50" s="14"/>
      <c r="E50" s="14">
        <v>2</v>
      </c>
      <c r="F50" s="28">
        <v>2150</v>
      </c>
      <c r="G50" s="33">
        <f t="shared" si="8"/>
        <v>4300</v>
      </c>
      <c r="H50" s="37">
        <v>0.4</v>
      </c>
      <c r="I50" s="33">
        <f t="shared" si="1"/>
        <v>1720</v>
      </c>
      <c r="J50" s="33">
        <f t="shared" si="2"/>
        <v>2580</v>
      </c>
      <c r="K50" s="47">
        <v>0.18</v>
      </c>
      <c r="L50" s="40">
        <f t="shared" si="3"/>
        <v>4.6440000000000001</v>
      </c>
      <c r="M50" s="40">
        <f t="shared" si="4"/>
        <v>2584.6439999999998</v>
      </c>
      <c r="N50" s="4"/>
    </row>
    <row r="51" spans="1:14" ht="24" customHeight="1" x14ac:dyDescent="0.3">
      <c r="A51" s="16">
        <v>39</v>
      </c>
      <c r="B51" s="16" t="s">
        <v>66</v>
      </c>
      <c r="C51" s="14" t="s">
        <v>30</v>
      </c>
      <c r="D51" s="14"/>
      <c r="E51" s="14">
        <v>1</v>
      </c>
      <c r="F51" s="28">
        <v>300</v>
      </c>
      <c r="G51" s="33">
        <f t="shared" si="8"/>
        <v>300</v>
      </c>
      <c r="H51" s="37">
        <v>0.25</v>
      </c>
      <c r="I51" s="33">
        <f t="shared" si="1"/>
        <v>75</v>
      </c>
      <c r="J51" s="33">
        <f t="shared" si="2"/>
        <v>225</v>
      </c>
      <c r="K51" s="47">
        <v>0.05</v>
      </c>
      <c r="L51" s="40">
        <f t="shared" si="3"/>
        <v>0.1125</v>
      </c>
      <c r="M51" s="40">
        <f t="shared" si="4"/>
        <v>225.11250000000001</v>
      </c>
      <c r="N51" s="4"/>
    </row>
    <row r="52" spans="1:14" ht="30.75" customHeight="1" x14ac:dyDescent="0.3">
      <c r="A52" s="16">
        <v>40</v>
      </c>
      <c r="B52" s="16" t="s">
        <v>67</v>
      </c>
      <c r="C52" s="14" t="s">
        <v>40</v>
      </c>
      <c r="D52" s="14"/>
      <c r="E52" s="14">
        <v>1</v>
      </c>
      <c r="F52" s="28">
        <v>377</v>
      </c>
      <c r="G52" s="33">
        <f t="shared" si="8"/>
        <v>377</v>
      </c>
      <c r="H52" s="37">
        <v>0.4</v>
      </c>
      <c r="I52" s="33">
        <f t="shared" si="1"/>
        <v>150.80000000000001</v>
      </c>
      <c r="J52" s="33">
        <f t="shared" si="2"/>
        <v>226.2</v>
      </c>
      <c r="K52" s="47">
        <v>0.18</v>
      </c>
      <c r="L52" s="40">
        <f t="shared" si="3"/>
        <v>0.40715999999999997</v>
      </c>
      <c r="M52" s="40">
        <f t="shared" si="4"/>
        <v>226.60715999999999</v>
      </c>
      <c r="N52" s="4"/>
    </row>
    <row r="53" spans="1:14" ht="30" customHeight="1" x14ac:dyDescent="0.3">
      <c r="A53" s="16">
        <v>41</v>
      </c>
      <c r="B53" s="16" t="s">
        <v>68</v>
      </c>
      <c r="C53" s="14" t="s">
        <v>27</v>
      </c>
      <c r="D53" s="14"/>
      <c r="E53" s="14">
        <v>2</v>
      </c>
      <c r="F53" s="28">
        <v>125</v>
      </c>
      <c r="G53" s="33">
        <f t="shared" si="8"/>
        <v>250</v>
      </c>
      <c r="H53" s="37">
        <v>0.4</v>
      </c>
      <c r="I53" s="33">
        <f t="shared" si="1"/>
        <v>100</v>
      </c>
      <c r="J53" s="33">
        <f t="shared" si="2"/>
        <v>150</v>
      </c>
      <c r="K53" s="47">
        <v>0.18</v>
      </c>
      <c r="L53" s="40">
        <f t="shared" si="3"/>
        <v>0.27</v>
      </c>
      <c r="M53" s="40">
        <f t="shared" si="4"/>
        <v>150.27000000000001</v>
      </c>
      <c r="N53" s="4"/>
    </row>
    <row r="54" spans="1:14" ht="24" customHeight="1" x14ac:dyDescent="0.3">
      <c r="A54" s="18">
        <v>42</v>
      </c>
      <c r="B54" s="18" t="s">
        <v>69</v>
      </c>
      <c r="C54" s="15" t="s">
        <v>31</v>
      </c>
      <c r="D54" s="15"/>
      <c r="E54" s="15">
        <v>2</v>
      </c>
      <c r="F54" s="31">
        <v>200</v>
      </c>
      <c r="G54" s="34">
        <f t="shared" si="8"/>
        <v>400</v>
      </c>
      <c r="H54" s="41">
        <v>0.4</v>
      </c>
      <c r="I54" s="34">
        <f t="shared" si="1"/>
        <v>160</v>
      </c>
      <c r="J54" s="34">
        <f t="shared" si="2"/>
        <v>240</v>
      </c>
      <c r="K54" s="49">
        <v>0.05</v>
      </c>
      <c r="L54" s="42">
        <f t="shared" si="3"/>
        <v>0.12</v>
      </c>
      <c r="M54" s="42">
        <f t="shared" si="4"/>
        <v>240.12</v>
      </c>
      <c r="N54" s="4"/>
    </row>
    <row r="55" spans="1:14" ht="24" customHeight="1" x14ac:dyDescent="0.3">
      <c r="A55" s="16">
        <v>43</v>
      </c>
      <c r="B55" s="16" t="s">
        <v>143</v>
      </c>
      <c r="C55" s="14" t="s">
        <v>40</v>
      </c>
      <c r="D55" s="14"/>
      <c r="E55" s="14">
        <v>2</v>
      </c>
      <c r="F55" s="28">
        <v>136</v>
      </c>
      <c r="G55" s="33">
        <f t="shared" si="8"/>
        <v>272</v>
      </c>
      <c r="H55" s="37">
        <v>0.4</v>
      </c>
      <c r="I55" s="33">
        <f t="shared" si="1"/>
        <v>108.80000000000001</v>
      </c>
      <c r="J55" s="33">
        <f t="shared" si="2"/>
        <v>163.19999999999999</v>
      </c>
      <c r="K55" s="47">
        <v>0.05</v>
      </c>
      <c r="L55" s="40">
        <f t="shared" si="3"/>
        <v>8.1600000000000006E-2</v>
      </c>
      <c r="M55" s="40">
        <f t="shared" si="4"/>
        <v>163.2816</v>
      </c>
      <c r="N55" s="4"/>
    </row>
    <row r="56" spans="1:14" ht="24" customHeight="1" x14ac:dyDescent="0.3">
      <c r="A56" s="16">
        <v>44</v>
      </c>
      <c r="B56" s="16" t="s">
        <v>69</v>
      </c>
      <c r="C56" s="14" t="s">
        <v>31</v>
      </c>
      <c r="D56" s="14"/>
      <c r="E56" s="14">
        <v>2</v>
      </c>
      <c r="F56" s="28">
        <v>200</v>
      </c>
      <c r="G56" s="33">
        <f t="shared" si="8"/>
        <v>400</v>
      </c>
      <c r="H56" s="37">
        <v>0.4</v>
      </c>
      <c r="I56" s="33">
        <f t="shared" si="1"/>
        <v>160</v>
      </c>
      <c r="J56" s="33">
        <f t="shared" si="2"/>
        <v>240</v>
      </c>
      <c r="K56" s="47">
        <v>0.05</v>
      </c>
      <c r="L56" s="40">
        <f t="shared" si="3"/>
        <v>0.12</v>
      </c>
      <c r="M56" s="40">
        <f t="shared" si="4"/>
        <v>240.12</v>
      </c>
      <c r="N56" s="4"/>
    </row>
    <row r="57" spans="1:14" ht="24" customHeight="1" x14ac:dyDescent="0.3">
      <c r="A57" s="16">
        <v>45</v>
      </c>
      <c r="B57" s="16" t="s">
        <v>70</v>
      </c>
      <c r="C57" s="14" t="s">
        <v>38</v>
      </c>
      <c r="D57" s="14"/>
      <c r="E57" s="14">
        <v>2</v>
      </c>
      <c r="F57" s="28">
        <v>170</v>
      </c>
      <c r="G57" s="33">
        <f t="shared" si="8"/>
        <v>340</v>
      </c>
      <c r="H57" s="37">
        <v>0.25</v>
      </c>
      <c r="I57" s="33">
        <f t="shared" si="1"/>
        <v>85</v>
      </c>
      <c r="J57" s="33">
        <f t="shared" si="2"/>
        <v>255</v>
      </c>
      <c r="K57" s="47">
        <v>0.05</v>
      </c>
      <c r="L57" s="40">
        <f t="shared" si="3"/>
        <v>0.1275</v>
      </c>
      <c r="M57" s="40">
        <f t="shared" si="4"/>
        <v>255.1275</v>
      </c>
      <c r="N57" s="5"/>
    </row>
    <row r="58" spans="1:14" ht="24" customHeight="1" x14ac:dyDescent="0.3">
      <c r="A58" s="18">
        <v>46</v>
      </c>
      <c r="B58" s="18" t="s">
        <v>70</v>
      </c>
      <c r="C58" s="15" t="s">
        <v>38</v>
      </c>
      <c r="D58" s="15"/>
      <c r="E58" s="15">
        <v>1</v>
      </c>
      <c r="F58" s="31">
        <v>170</v>
      </c>
      <c r="G58" s="34">
        <f t="shared" si="8"/>
        <v>170</v>
      </c>
      <c r="H58" s="41">
        <v>0.25</v>
      </c>
      <c r="I58" s="34">
        <f t="shared" si="1"/>
        <v>42.5</v>
      </c>
      <c r="J58" s="34">
        <f t="shared" si="2"/>
        <v>127.5</v>
      </c>
      <c r="K58" s="49">
        <v>0.05</v>
      </c>
      <c r="L58" s="42">
        <f t="shared" si="3"/>
        <v>6.3750000000000001E-2</v>
      </c>
      <c r="M58" s="42">
        <f t="shared" si="4"/>
        <v>127.56375</v>
      </c>
      <c r="N58" s="5"/>
    </row>
    <row r="59" spans="1:14" ht="24" customHeight="1" x14ac:dyDescent="0.3">
      <c r="A59" s="16">
        <v>47</v>
      </c>
      <c r="B59" s="16" t="s">
        <v>71</v>
      </c>
      <c r="C59" s="14" t="s">
        <v>30</v>
      </c>
      <c r="D59" s="14"/>
      <c r="E59" s="14">
        <v>1</v>
      </c>
      <c r="F59" s="28">
        <v>1600</v>
      </c>
      <c r="G59" s="33">
        <f t="shared" si="8"/>
        <v>1600</v>
      </c>
      <c r="H59" s="37">
        <v>0.25</v>
      </c>
      <c r="I59" s="33">
        <f t="shared" si="1"/>
        <v>400</v>
      </c>
      <c r="J59" s="33">
        <f t="shared" si="2"/>
        <v>1200</v>
      </c>
      <c r="K59" s="47">
        <v>0.18</v>
      </c>
      <c r="L59" s="40">
        <f t="shared" si="3"/>
        <v>2.16</v>
      </c>
      <c r="M59" s="40">
        <f t="shared" si="4"/>
        <v>1202.1600000000001</v>
      </c>
      <c r="N59" s="5"/>
    </row>
    <row r="60" spans="1:14" ht="24" customHeight="1" x14ac:dyDescent="0.3">
      <c r="A60" s="16">
        <v>48</v>
      </c>
      <c r="B60" s="16" t="s">
        <v>144</v>
      </c>
      <c r="C60" s="14" t="s">
        <v>227</v>
      </c>
      <c r="D60" s="14"/>
      <c r="E60" s="14">
        <v>2</v>
      </c>
      <c r="F60" s="28">
        <v>7704</v>
      </c>
      <c r="G60" s="33">
        <f t="shared" si="8"/>
        <v>15408</v>
      </c>
      <c r="H60" s="37">
        <v>0.4</v>
      </c>
      <c r="I60" s="33">
        <f t="shared" si="1"/>
        <v>6163.2000000000007</v>
      </c>
      <c r="J60" s="33">
        <f t="shared" si="2"/>
        <v>9244.7999999999993</v>
      </c>
      <c r="K60" s="48">
        <v>0.18</v>
      </c>
      <c r="L60" s="40">
        <f t="shared" si="3"/>
        <v>16.640639999999998</v>
      </c>
      <c r="M60" s="40">
        <f t="shared" si="4"/>
        <v>9261.4406399999989</v>
      </c>
      <c r="N60" s="4"/>
    </row>
    <row r="61" spans="1:14" ht="24" customHeight="1" x14ac:dyDescent="0.3">
      <c r="A61" s="16">
        <v>49</v>
      </c>
      <c r="B61" s="16" t="s">
        <v>145</v>
      </c>
      <c r="C61" s="14" t="s">
        <v>40</v>
      </c>
      <c r="D61" s="14"/>
      <c r="E61" s="14">
        <v>1</v>
      </c>
      <c r="F61" s="28">
        <v>2767</v>
      </c>
      <c r="G61" s="33">
        <f t="shared" si="8"/>
        <v>2767</v>
      </c>
      <c r="H61" s="37">
        <v>0.4</v>
      </c>
      <c r="I61" s="33">
        <f t="shared" si="1"/>
        <v>1106.8</v>
      </c>
      <c r="J61" s="33">
        <f t="shared" si="2"/>
        <v>1660.2</v>
      </c>
      <c r="K61" s="47">
        <v>0.18</v>
      </c>
      <c r="L61" s="40">
        <f t="shared" si="3"/>
        <v>2.9883600000000001</v>
      </c>
      <c r="M61" s="40">
        <f t="shared" si="4"/>
        <v>1663.1883600000001</v>
      </c>
      <c r="N61" s="4"/>
    </row>
    <row r="62" spans="1:14" ht="24" customHeight="1" x14ac:dyDescent="0.3">
      <c r="A62" s="16">
        <v>50</v>
      </c>
      <c r="B62" s="16" t="s">
        <v>72</v>
      </c>
      <c r="C62" s="14" t="s">
        <v>31</v>
      </c>
      <c r="D62" s="14"/>
      <c r="E62" s="14">
        <v>1</v>
      </c>
      <c r="F62" s="28">
        <v>2250</v>
      </c>
      <c r="G62" s="33">
        <f t="shared" si="8"/>
        <v>2250</v>
      </c>
      <c r="H62" s="37">
        <v>0.4</v>
      </c>
      <c r="I62" s="33">
        <f t="shared" si="1"/>
        <v>900</v>
      </c>
      <c r="J62" s="33">
        <f t="shared" si="2"/>
        <v>1350</v>
      </c>
      <c r="K62" s="47">
        <v>0.18</v>
      </c>
      <c r="L62" s="40">
        <f t="shared" si="3"/>
        <v>2.4300000000000002</v>
      </c>
      <c r="M62" s="40">
        <f t="shared" si="4"/>
        <v>1352.43</v>
      </c>
      <c r="N62" s="4"/>
    </row>
    <row r="63" spans="1:14" ht="24" customHeight="1" x14ac:dyDescent="0.3">
      <c r="A63" s="16">
        <v>51</v>
      </c>
      <c r="B63" s="16" t="s">
        <v>73</v>
      </c>
      <c r="C63" s="14" t="s">
        <v>31</v>
      </c>
      <c r="D63" s="14"/>
      <c r="E63" s="14">
        <v>1</v>
      </c>
      <c r="F63" s="28">
        <v>900</v>
      </c>
      <c r="G63" s="33">
        <f t="shared" si="8"/>
        <v>900</v>
      </c>
      <c r="H63" s="37">
        <v>0.4</v>
      </c>
      <c r="I63" s="33">
        <f t="shared" si="1"/>
        <v>360</v>
      </c>
      <c r="J63" s="33">
        <f t="shared" si="2"/>
        <v>540</v>
      </c>
      <c r="K63" s="47">
        <v>0.18</v>
      </c>
      <c r="L63" s="40">
        <f t="shared" si="3"/>
        <v>0.97199999999999998</v>
      </c>
      <c r="M63" s="40">
        <f t="shared" si="4"/>
        <v>540.97199999999998</v>
      </c>
      <c r="N63" s="4"/>
    </row>
    <row r="64" spans="1:14" ht="21.75" customHeight="1" x14ac:dyDescent="0.3">
      <c r="A64" s="16">
        <v>52</v>
      </c>
      <c r="B64" s="20" t="s">
        <v>255</v>
      </c>
      <c r="C64" s="14" t="s">
        <v>226</v>
      </c>
      <c r="D64" s="14"/>
      <c r="E64" s="14">
        <v>1</v>
      </c>
      <c r="F64" s="28">
        <v>4145</v>
      </c>
      <c r="G64" s="33">
        <f t="shared" si="8"/>
        <v>4145</v>
      </c>
      <c r="H64" s="37">
        <v>0.2</v>
      </c>
      <c r="I64" s="33">
        <f t="shared" si="1"/>
        <v>829</v>
      </c>
      <c r="J64" s="33">
        <f t="shared" si="2"/>
        <v>3316</v>
      </c>
      <c r="K64" s="47">
        <v>0.18</v>
      </c>
      <c r="L64" s="40">
        <f t="shared" si="3"/>
        <v>5.9687999999999999</v>
      </c>
      <c r="M64" s="40">
        <f t="shared" si="4"/>
        <v>3321.9688000000001</v>
      </c>
      <c r="N64" s="4"/>
    </row>
    <row r="65" spans="1:14" ht="24" customHeight="1" x14ac:dyDescent="0.3">
      <c r="A65" s="16">
        <v>53</v>
      </c>
      <c r="B65" s="20" t="s">
        <v>37</v>
      </c>
      <c r="C65" s="14" t="s">
        <v>228</v>
      </c>
      <c r="D65" s="14"/>
      <c r="E65" s="14">
        <v>1</v>
      </c>
      <c r="F65" s="28">
        <v>9395</v>
      </c>
      <c r="G65" s="33">
        <f t="shared" si="8"/>
        <v>9395</v>
      </c>
      <c r="H65" s="37">
        <v>0</v>
      </c>
      <c r="I65" s="33">
        <f t="shared" si="1"/>
        <v>0</v>
      </c>
      <c r="J65" s="33">
        <f t="shared" si="2"/>
        <v>9395</v>
      </c>
      <c r="K65" s="47">
        <v>0.18</v>
      </c>
      <c r="L65" s="40">
        <f t="shared" si="3"/>
        <v>16.910999999999998</v>
      </c>
      <c r="M65" s="40">
        <f t="shared" si="4"/>
        <v>9411.9110000000001</v>
      </c>
      <c r="N65" s="4"/>
    </row>
    <row r="66" spans="1:14" ht="24.75" customHeight="1" x14ac:dyDescent="0.3">
      <c r="A66" s="16">
        <v>54</v>
      </c>
      <c r="B66" s="16" t="s">
        <v>74</v>
      </c>
      <c r="C66" s="14" t="s">
        <v>28</v>
      </c>
      <c r="D66" s="14"/>
      <c r="E66" s="14">
        <v>1</v>
      </c>
      <c r="F66" s="28">
        <v>650</v>
      </c>
      <c r="G66" s="33">
        <f t="shared" si="8"/>
        <v>650</v>
      </c>
      <c r="H66" s="37">
        <v>0.4</v>
      </c>
      <c r="I66" s="33">
        <f t="shared" si="1"/>
        <v>260</v>
      </c>
      <c r="J66" s="33">
        <f t="shared" si="2"/>
        <v>390</v>
      </c>
      <c r="K66" s="47">
        <v>0.05</v>
      </c>
      <c r="L66" s="40">
        <f t="shared" si="3"/>
        <v>0.19500000000000001</v>
      </c>
      <c r="M66" s="40">
        <f t="shared" si="4"/>
        <v>390.19499999999999</v>
      </c>
      <c r="N66" s="4"/>
    </row>
    <row r="67" spans="1:14" ht="24" customHeight="1" x14ac:dyDescent="0.3">
      <c r="A67" s="16">
        <v>55</v>
      </c>
      <c r="B67" s="16" t="s">
        <v>249</v>
      </c>
      <c r="C67" s="14" t="s">
        <v>31</v>
      </c>
      <c r="D67" s="14"/>
      <c r="E67" s="14">
        <v>1</v>
      </c>
      <c r="F67" s="28">
        <v>850</v>
      </c>
      <c r="G67" s="33">
        <f t="shared" si="8"/>
        <v>850</v>
      </c>
      <c r="H67" s="37">
        <v>0.4</v>
      </c>
      <c r="I67" s="33">
        <f t="shared" si="1"/>
        <v>340</v>
      </c>
      <c r="J67" s="33">
        <f t="shared" si="2"/>
        <v>510</v>
      </c>
      <c r="K67" s="47">
        <v>0.05</v>
      </c>
      <c r="L67" s="40">
        <f t="shared" si="3"/>
        <v>0.255</v>
      </c>
      <c r="M67" s="40">
        <f t="shared" si="4"/>
        <v>510.255</v>
      </c>
      <c r="N67" s="4"/>
    </row>
    <row r="68" spans="1:14" ht="28.5" customHeight="1" x14ac:dyDescent="0.3">
      <c r="A68" s="16">
        <v>56</v>
      </c>
      <c r="B68" s="16" t="s">
        <v>248</v>
      </c>
      <c r="C68" s="14" t="s">
        <v>31</v>
      </c>
      <c r="D68" s="14"/>
      <c r="E68" s="14">
        <v>1</v>
      </c>
      <c r="F68" s="28">
        <v>7900</v>
      </c>
      <c r="G68" s="33">
        <f t="shared" si="8"/>
        <v>7900</v>
      </c>
      <c r="H68" s="37">
        <v>0.4</v>
      </c>
      <c r="I68" s="33">
        <f t="shared" si="1"/>
        <v>3160</v>
      </c>
      <c r="J68" s="33">
        <f t="shared" si="2"/>
        <v>4740</v>
      </c>
      <c r="K68" s="47">
        <v>0.18</v>
      </c>
      <c r="L68" s="40">
        <f t="shared" si="3"/>
        <v>8.532</v>
      </c>
      <c r="M68" s="40">
        <f t="shared" si="4"/>
        <v>4748.5320000000002</v>
      </c>
      <c r="N68" s="4"/>
    </row>
    <row r="69" spans="1:14" ht="24" customHeight="1" x14ac:dyDescent="0.3">
      <c r="A69" s="16">
        <v>57</v>
      </c>
      <c r="B69" s="16" t="s">
        <v>75</v>
      </c>
      <c r="C69" s="14" t="s">
        <v>31</v>
      </c>
      <c r="D69" s="14"/>
      <c r="E69" s="14">
        <v>1</v>
      </c>
      <c r="F69" s="28">
        <v>580</v>
      </c>
      <c r="G69" s="33">
        <f t="shared" si="8"/>
        <v>580</v>
      </c>
      <c r="H69" s="37">
        <v>0.4</v>
      </c>
      <c r="I69" s="33">
        <f t="shared" si="1"/>
        <v>232</v>
      </c>
      <c r="J69" s="33">
        <f t="shared" si="2"/>
        <v>348</v>
      </c>
      <c r="K69" s="47">
        <v>0.05</v>
      </c>
      <c r="L69" s="40">
        <f t="shared" si="3"/>
        <v>0.17400000000000002</v>
      </c>
      <c r="M69" s="40">
        <f t="shared" si="4"/>
        <v>348.17399999999998</v>
      </c>
      <c r="N69" s="4"/>
    </row>
    <row r="70" spans="1:14" ht="24" customHeight="1" x14ac:dyDescent="0.3">
      <c r="A70" s="16">
        <v>58</v>
      </c>
      <c r="B70" s="16" t="s">
        <v>247</v>
      </c>
      <c r="C70" s="14" t="s">
        <v>236</v>
      </c>
      <c r="D70" s="14"/>
      <c r="E70" s="14">
        <v>1</v>
      </c>
      <c r="F70" s="28">
        <v>4300</v>
      </c>
      <c r="G70" s="33">
        <f t="shared" si="8"/>
        <v>4300</v>
      </c>
      <c r="H70" s="37">
        <v>0</v>
      </c>
      <c r="I70" s="33">
        <f t="shared" si="1"/>
        <v>0</v>
      </c>
      <c r="J70" s="33">
        <f t="shared" si="2"/>
        <v>4300</v>
      </c>
      <c r="K70" s="38">
        <v>18</v>
      </c>
      <c r="L70" s="40">
        <f t="shared" si="3"/>
        <v>774</v>
      </c>
      <c r="M70" s="40">
        <f t="shared" si="4"/>
        <v>5074</v>
      </c>
      <c r="N70" s="4"/>
    </row>
    <row r="71" spans="1:14" ht="24" customHeight="1" x14ac:dyDescent="0.3">
      <c r="A71" s="16">
        <v>59</v>
      </c>
      <c r="B71" s="25" t="s">
        <v>256</v>
      </c>
      <c r="C71" s="14" t="s">
        <v>236</v>
      </c>
      <c r="D71" s="14"/>
      <c r="E71" s="14">
        <v>1</v>
      </c>
      <c r="F71" s="28">
        <v>16200</v>
      </c>
      <c r="G71" s="33">
        <f t="shared" si="8"/>
        <v>16200</v>
      </c>
      <c r="H71" s="37">
        <v>0</v>
      </c>
      <c r="I71" s="33">
        <f t="shared" si="1"/>
        <v>0</v>
      </c>
      <c r="J71" s="33">
        <f t="shared" si="2"/>
        <v>16200</v>
      </c>
      <c r="K71" s="38">
        <v>18</v>
      </c>
      <c r="L71" s="40">
        <f t="shared" si="3"/>
        <v>2916</v>
      </c>
      <c r="M71" s="40">
        <f t="shared" si="4"/>
        <v>19116</v>
      </c>
      <c r="N71" s="4"/>
    </row>
    <row r="72" spans="1:14" ht="24" customHeight="1" x14ac:dyDescent="0.3">
      <c r="A72" s="16">
        <v>60</v>
      </c>
      <c r="B72" s="18" t="s">
        <v>34</v>
      </c>
      <c r="C72" s="14"/>
      <c r="D72" s="14"/>
      <c r="E72" s="14"/>
      <c r="F72" s="28"/>
      <c r="G72" s="33">
        <f t="shared" si="8"/>
        <v>0</v>
      </c>
      <c r="H72" s="37"/>
      <c r="I72" s="33">
        <f t="shared" si="1"/>
        <v>0</v>
      </c>
      <c r="J72" s="33">
        <f t="shared" si="2"/>
        <v>0</v>
      </c>
      <c r="K72" s="38"/>
      <c r="L72" s="40">
        <f t="shared" si="3"/>
        <v>0</v>
      </c>
      <c r="M72" s="40">
        <f t="shared" si="4"/>
        <v>0</v>
      </c>
      <c r="N72" s="4"/>
    </row>
    <row r="73" spans="1:14" ht="24" customHeight="1" x14ac:dyDescent="0.3">
      <c r="A73" s="16">
        <v>61</v>
      </c>
      <c r="B73" s="16" t="s">
        <v>76</v>
      </c>
      <c r="C73" s="14" t="s">
        <v>30</v>
      </c>
      <c r="D73" s="14"/>
      <c r="E73" s="14">
        <v>3</v>
      </c>
      <c r="F73" s="28">
        <v>870</v>
      </c>
      <c r="G73" s="33">
        <f t="shared" si="8"/>
        <v>2610</v>
      </c>
      <c r="H73" s="37">
        <v>0.25</v>
      </c>
      <c r="I73" s="33">
        <f t="shared" si="1"/>
        <v>652.5</v>
      </c>
      <c r="J73" s="33">
        <f t="shared" si="2"/>
        <v>1957.5</v>
      </c>
      <c r="K73" s="47">
        <v>0.18</v>
      </c>
      <c r="L73" s="40">
        <f t="shared" si="3"/>
        <v>3.5234999999999999</v>
      </c>
      <c r="M73" s="40">
        <f t="shared" si="4"/>
        <v>1961.0235</v>
      </c>
      <c r="N73" s="4"/>
    </row>
    <row r="74" spans="1:14" ht="24" customHeight="1" x14ac:dyDescent="0.3">
      <c r="A74" s="16">
        <v>62</v>
      </c>
      <c r="B74" s="16" t="s">
        <v>77</v>
      </c>
      <c r="C74" s="14" t="s">
        <v>38</v>
      </c>
      <c r="D74" s="14"/>
      <c r="E74" s="14">
        <v>2</v>
      </c>
      <c r="F74" s="28">
        <v>179</v>
      </c>
      <c r="G74" s="33">
        <f t="shared" si="8"/>
        <v>358</v>
      </c>
      <c r="H74" s="37">
        <v>0.25</v>
      </c>
      <c r="I74" s="33">
        <f t="shared" si="1"/>
        <v>89.5</v>
      </c>
      <c r="J74" s="33">
        <f t="shared" si="2"/>
        <v>268.5</v>
      </c>
      <c r="K74" s="47">
        <v>0.05</v>
      </c>
      <c r="L74" s="40">
        <f t="shared" si="3"/>
        <v>0.13425000000000001</v>
      </c>
      <c r="M74" s="40">
        <f t="shared" si="4"/>
        <v>268.63425000000001</v>
      </c>
      <c r="N74" s="4"/>
    </row>
    <row r="75" spans="1:14" ht="24" customHeight="1" x14ac:dyDescent="0.3">
      <c r="A75" s="16">
        <v>63</v>
      </c>
      <c r="B75" s="16" t="s">
        <v>77</v>
      </c>
      <c r="C75" s="14" t="s">
        <v>38</v>
      </c>
      <c r="D75" s="14"/>
      <c r="E75" s="14">
        <v>4</v>
      </c>
      <c r="F75" s="28">
        <v>179</v>
      </c>
      <c r="G75" s="33">
        <f t="shared" si="8"/>
        <v>716</v>
      </c>
      <c r="H75" s="37">
        <v>0.25</v>
      </c>
      <c r="I75" s="33">
        <f t="shared" si="1"/>
        <v>179</v>
      </c>
      <c r="J75" s="33">
        <f t="shared" si="2"/>
        <v>537</v>
      </c>
      <c r="K75" s="47">
        <v>0.05</v>
      </c>
      <c r="L75" s="40">
        <f t="shared" si="3"/>
        <v>0.26850000000000002</v>
      </c>
      <c r="M75" s="40">
        <f t="shared" si="4"/>
        <v>537.26850000000002</v>
      </c>
    </row>
    <row r="76" spans="1:14" ht="24" customHeight="1" x14ac:dyDescent="0.3">
      <c r="A76" s="16">
        <v>64</v>
      </c>
      <c r="B76" s="16" t="s">
        <v>229</v>
      </c>
      <c r="C76" s="14" t="s">
        <v>227</v>
      </c>
      <c r="D76" s="14"/>
      <c r="E76" s="14">
        <v>1</v>
      </c>
      <c r="F76" s="28">
        <v>2880</v>
      </c>
      <c r="G76" s="33">
        <f t="shared" si="8"/>
        <v>2880</v>
      </c>
      <c r="H76" s="37">
        <v>0.4</v>
      </c>
      <c r="I76" s="33">
        <f t="shared" si="1"/>
        <v>1152</v>
      </c>
      <c r="J76" s="33">
        <f t="shared" si="2"/>
        <v>1728</v>
      </c>
      <c r="K76" s="48">
        <v>0.18</v>
      </c>
      <c r="L76" s="40">
        <f t="shared" si="3"/>
        <v>3.1103999999999998</v>
      </c>
      <c r="M76" s="40">
        <f t="shared" si="4"/>
        <v>1731.1104</v>
      </c>
    </row>
    <row r="77" spans="1:14" ht="24" customHeight="1" x14ac:dyDescent="0.3">
      <c r="A77" s="16">
        <v>65</v>
      </c>
      <c r="B77" s="16" t="s">
        <v>78</v>
      </c>
      <c r="C77" s="14" t="s">
        <v>28</v>
      </c>
      <c r="D77" s="14"/>
      <c r="E77" s="14">
        <v>1</v>
      </c>
      <c r="F77" s="28">
        <v>304</v>
      </c>
      <c r="G77" s="33">
        <f t="shared" si="8"/>
        <v>304</v>
      </c>
      <c r="H77" s="37">
        <v>0.4</v>
      </c>
      <c r="I77" s="33">
        <f t="shared" si="1"/>
        <v>121.60000000000001</v>
      </c>
      <c r="J77" s="33">
        <f t="shared" si="2"/>
        <v>182.39999999999998</v>
      </c>
      <c r="K77" s="47">
        <v>0.18</v>
      </c>
      <c r="L77" s="40">
        <f t="shared" si="3"/>
        <v>0.32831999999999995</v>
      </c>
      <c r="M77" s="40">
        <f t="shared" si="4"/>
        <v>182.72831999999997</v>
      </c>
    </row>
    <row r="78" spans="1:14" ht="29.4" customHeight="1" x14ac:dyDescent="0.3">
      <c r="A78" s="16">
        <v>66</v>
      </c>
      <c r="B78" s="17" t="s">
        <v>79</v>
      </c>
      <c r="C78" s="14" t="s">
        <v>38</v>
      </c>
      <c r="D78" s="14"/>
      <c r="E78" s="14">
        <v>1</v>
      </c>
      <c r="F78" s="28">
        <v>390</v>
      </c>
      <c r="G78" s="33">
        <f t="shared" si="8"/>
        <v>390</v>
      </c>
      <c r="H78" s="37">
        <v>0.25</v>
      </c>
      <c r="I78" s="33">
        <f t="shared" si="1"/>
        <v>97.5</v>
      </c>
      <c r="J78" s="33">
        <f t="shared" si="2"/>
        <v>292.5</v>
      </c>
      <c r="K78" s="47">
        <v>0.05</v>
      </c>
      <c r="L78" s="40">
        <f t="shared" si="3"/>
        <v>0.14624999999999999</v>
      </c>
      <c r="M78" s="40">
        <f t="shared" si="4"/>
        <v>292.64625000000001</v>
      </c>
    </row>
    <row r="79" spans="1:14" ht="24" customHeight="1" x14ac:dyDescent="0.3">
      <c r="A79" s="16">
        <v>67</v>
      </c>
      <c r="B79" s="16" t="s">
        <v>80</v>
      </c>
      <c r="C79" s="14" t="s">
        <v>38</v>
      </c>
      <c r="D79" s="14"/>
      <c r="E79" s="14">
        <v>2</v>
      </c>
      <c r="F79" s="28">
        <v>188</v>
      </c>
      <c r="G79" s="33">
        <f t="shared" si="8"/>
        <v>376</v>
      </c>
      <c r="H79" s="37">
        <v>0.25</v>
      </c>
      <c r="I79" s="33">
        <f t="shared" si="1"/>
        <v>94</v>
      </c>
      <c r="J79" s="33">
        <f t="shared" si="2"/>
        <v>282</v>
      </c>
      <c r="K79" s="47">
        <v>0.05</v>
      </c>
      <c r="L79" s="40">
        <f t="shared" si="3"/>
        <v>0.14100000000000001</v>
      </c>
      <c r="M79" s="40">
        <f t="shared" si="4"/>
        <v>282.14100000000002</v>
      </c>
    </row>
    <row r="80" spans="1:14" ht="24" customHeight="1" x14ac:dyDescent="0.3">
      <c r="A80" s="16">
        <v>68</v>
      </c>
      <c r="B80" s="16" t="s">
        <v>81</v>
      </c>
      <c r="C80" s="14" t="s">
        <v>40</v>
      </c>
      <c r="D80" s="14"/>
      <c r="E80" s="14">
        <v>2</v>
      </c>
      <c r="F80" s="28">
        <v>406</v>
      </c>
      <c r="G80" s="33">
        <f t="shared" si="8"/>
        <v>812</v>
      </c>
      <c r="H80" s="37">
        <v>0.4</v>
      </c>
      <c r="I80" s="33">
        <f t="shared" si="1"/>
        <v>324.8</v>
      </c>
      <c r="J80" s="33">
        <f t="shared" si="2"/>
        <v>487.2</v>
      </c>
      <c r="K80" s="47">
        <v>0.18</v>
      </c>
      <c r="L80" s="40">
        <f t="shared" si="3"/>
        <v>0.87695999999999996</v>
      </c>
      <c r="M80" s="40">
        <f t="shared" si="4"/>
        <v>488.07695999999999</v>
      </c>
    </row>
    <row r="81" spans="1:13" ht="24" customHeight="1" x14ac:dyDescent="0.3">
      <c r="A81" s="16">
        <v>69</v>
      </c>
      <c r="B81" s="16" t="s">
        <v>82</v>
      </c>
      <c r="C81" s="14" t="s">
        <v>40</v>
      </c>
      <c r="D81" s="14"/>
      <c r="E81" s="14">
        <v>1</v>
      </c>
      <c r="F81" s="28">
        <v>567</v>
      </c>
      <c r="G81" s="33">
        <f t="shared" si="8"/>
        <v>567</v>
      </c>
      <c r="H81" s="37">
        <v>0.4</v>
      </c>
      <c r="I81" s="33">
        <f t="shared" ref="I81:I150" si="9">G81*H81</f>
        <v>226.8</v>
      </c>
      <c r="J81" s="33">
        <f t="shared" ref="J81:J150" si="10">G81-I81</f>
        <v>340.2</v>
      </c>
      <c r="K81" s="47">
        <v>0.18</v>
      </c>
      <c r="L81" s="40">
        <f t="shared" ref="L81:L150" si="11">(J81*K81/100)</f>
        <v>0.61236000000000002</v>
      </c>
      <c r="M81" s="40">
        <f t="shared" ref="M81:M150" si="12">(J81+L81)</f>
        <v>340.81236000000001</v>
      </c>
    </row>
    <row r="82" spans="1:13" ht="24" customHeight="1" x14ac:dyDescent="0.3">
      <c r="A82" s="16">
        <v>70</v>
      </c>
      <c r="B82" s="16" t="s">
        <v>83</v>
      </c>
      <c r="C82" s="14" t="s">
        <v>40</v>
      </c>
      <c r="D82" s="14"/>
      <c r="E82" s="14">
        <v>1</v>
      </c>
      <c r="F82" s="28">
        <v>555</v>
      </c>
      <c r="G82" s="33">
        <f t="shared" si="8"/>
        <v>555</v>
      </c>
      <c r="H82" s="37">
        <v>0.4</v>
      </c>
      <c r="I82" s="33">
        <f t="shared" si="9"/>
        <v>222</v>
      </c>
      <c r="J82" s="33">
        <f t="shared" si="10"/>
        <v>333</v>
      </c>
      <c r="K82" s="47">
        <v>0.18</v>
      </c>
      <c r="L82" s="40">
        <f t="shared" si="11"/>
        <v>0.59939999999999993</v>
      </c>
      <c r="M82" s="40">
        <f t="shared" si="12"/>
        <v>333.5994</v>
      </c>
    </row>
    <row r="83" spans="1:13" ht="24" customHeight="1" x14ac:dyDescent="0.3">
      <c r="A83" s="16">
        <v>71</v>
      </c>
      <c r="B83" s="16" t="s">
        <v>84</v>
      </c>
      <c r="C83" s="14" t="s">
        <v>30</v>
      </c>
      <c r="D83" s="14"/>
      <c r="E83" s="14">
        <v>1</v>
      </c>
      <c r="F83" s="28">
        <v>610</v>
      </c>
      <c r="G83" s="33">
        <f t="shared" si="8"/>
        <v>610</v>
      </c>
      <c r="H83" s="37">
        <v>0.25</v>
      </c>
      <c r="I83" s="33">
        <f t="shared" si="9"/>
        <v>152.5</v>
      </c>
      <c r="J83" s="33">
        <f t="shared" si="10"/>
        <v>457.5</v>
      </c>
      <c r="K83" s="47">
        <v>0.18</v>
      </c>
      <c r="L83" s="40">
        <f t="shared" si="11"/>
        <v>0.8234999999999999</v>
      </c>
      <c r="M83" s="40">
        <f t="shared" si="12"/>
        <v>458.32350000000002</v>
      </c>
    </row>
    <row r="84" spans="1:13" ht="24" customHeight="1" x14ac:dyDescent="0.3">
      <c r="A84" s="16">
        <v>72</v>
      </c>
      <c r="B84" s="16" t="s">
        <v>85</v>
      </c>
      <c r="C84" s="14" t="s">
        <v>28</v>
      </c>
      <c r="D84" s="14"/>
      <c r="E84" s="14">
        <v>1</v>
      </c>
      <c r="F84" s="28">
        <v>2942</v>
      </c>
      <c r="G84" s="33">
        <f t="shared" si="8"/>
        <v>2942</v>
      </c>
      <c r="H84" s="37">
        <v>0.4</v>
      </c>
      <c r="I84" s="33">
        <f t="shared" si="9"/>
        <v>1176.8</v>
      </c>
      <c r="J84" s="33">
        <f t="shared" si="10"/>
        <v>1765.2</v>
      </c>
      <c r="K84" s="47">
        <v>0.18</v>
      </c>
      <c r="L84" s="40">
        <f t="shared" si="11"/>
        <v>3.1773599999999997</v>
      </c>
      <c r="M84" s="40">
        <f t="shared" si="12"/>
        <v>1768.37736</v>
      </c>
    </row>
    <row r="85" spans="1:13" ht="24" customHeight="1" x14ac:dyDescent="0.3">
      <c r="A85" s="16">
        <v>73</v>
      </c>
      <c r="B85" s="16" t="s">
        <v>86</v>
      </c>
      <c r="C85" s="14" t="s">
        <v>30</v>
      </c>
      <c r="D85" s="14"/>
      <c r="E85" s="14">
        <v>1</v>
      </c>
      <c r="F85" s="28">
        <v>690</v>
      </c>
      <c r="G85" s="33">
        <f t="shared" si="8"/>
        <v>690</v>
      </c>
      <c r="H85" s="37">
        <v>0.25</v>
      </c>
      <c r="I85" s="33">
        <f t="shared" si="9"/>
        <v>172.5</v>
      </c>
      <c r="J85" s="33">
        <f t="shared" si="10"/>
        <v>517.5</v>
      </c>
      <c r="K85" s="47">
        <v>0.18</v>
      </c>
      <c r="L85" s="40">
        <f t="shared" si="11"/>
        <v>0.93149999999999988</v>
      </c>
      <c r="M85" s="40">
        <f t="shared" si="12"/>
        <v>518.43150000000003</v>
      </c>
    </row>
    <row r="86" spans="1:13" ht="24" customHeight="1" x14ac:dyDescent="0.3">
      <c r="A86" s="16">
        <v>74</v>
      </c>
      <c r="B86" s="16" t="s">
        <v>82</v>
      </c>
      <c r="C86" s="14" t="s">
        <v>40</v>
      </c>
      <c r="D86" s="14"/>
      <c r="E86" s="14">
        <v>1</v>
      </c>
      <c r="F86" s="28">
        <v>567</v>
      </c>
      <c r="G86" s="33">
        <f t="shared" si="8"/>
        <v>567</v>
      </c>
      <c r="H86" s="37">
        <v>0.4</v>
      </c>
      <c r="I86" s="33">
        <f t="shared" ref="I86:I87" si="13">G86*H86</f>
        <v>226.8</v>
      </c>
      <c r="J86" s="33">
        <f t="shared" ref="J86:J87" si="14">G86-I86</f>
        <v>340.2</v>
      </c>
      <c r="K86" s="47">
        <v>0.18</v>
      </c>
      <c r="L86" s="40">
        <f t="shared" ref="L86:L87" si="15">(J86*K86/100)</f>
        <v>0.61236000000000002</v>
      </c>
      <c r="M86" s="40">
        <f t="shared" ref="M86:M87" si="16">(J86+L86)</f>
        <v>340.81236000000001</v>
      </c>
    </row>
    <row r="87" spans="1:13" ht="24" customHeight="1" x14ac:dyDescent="0.3">
      <c r="A87" s="16">
        <v>75</v>
      </c>
      <c r="B87" s="16" t="s">
        <v>82</v>
      </c>
      <c r="C87" s="14" t="s">
        <v>40</v>
      </c>
      <c r="D87" s="14"/>
      <c r="E87" s="14">
        <v>1</v>
      </c>
      <c r="F87" s="28">
        <v>567</v>
      </c>
      <c r="G87" s="33">
        <f t="shared" si="8"/>
        <v>567</v>
      </c>
      <c r="H87" s="37">
        <v>0.4</v>
      </c>
      <c r="I87" s="33">
        <f t="shared" si="13"/>
        <v>226.8</v>
      </c>
      <c r="J87" s="33">
        <f t="shared" si="14"/>
        <v>340.2</v>
      </c>
      <c r="K87" s="47">
        <v>0.18</v>
      </c>
      <c r="L87" s="40">
        <f t="shared" si="15"/>
        <v>0.61236000000000002</v>
      </c>
      <c r="M87" s="40">
        <f t="shared" si="16"/>
        <v>340.81236000000001</v>
      </c>
    </row>
    <row r="88" spans="1:13" ht="24" customHeight="1" x14ac:dyDescent="0.3">
      <c r="A88" s="16">
        <v>76</v>
      </c>
      <c r="B88" s="16" t="s">
        <v>230</v>
      </c>
      <c r="C88" s="14" t="s">
        <v>227</v>
      </c>
      <c r="D88" s="14"/>
      <c r="E88" s="14">
        <v>1</v>
      </c>
      <c r="F88" s="28">
        <v>522</v>
      </c>
      <c r="G88" s="33">
        <f t="shared" ref="G88" si="17">F88*E88</f>
        <v>522</v>
      </c>
      <c r="H88" s="37">
        <v>0.4</v>
      </c>
      <c r="I88" s="33">
        <f t="shared" ref="I88" si="18">G88*H88</f>
        <v>208.8</v>
      </c>
      <c r="J88" s="33">
        <f t="shared" ref="J88" si="19">G88-I88</f>
        <v>313.2</v>
      </c>
      <c r="K88" s="48">
        <v>0.18</v>
      </c>
      <c r="L88" s="40">
        <f t="shared" ref="L88" si="20">(J88*K88/100)</f>
        <v>0.56375999999999993</v>
      </c>
      <c r="M88" s="40">
        <f t="shared" ref="M88" si="21">(J88+L88)</f>
        <v>313.76375999999999</v>
      </c>
    </row>
    <row r="89" spans="1:13" ht="24" customHeight="1" x14ac:dyDescent="0.3">
      <c r="A89" s="16">
        <v>77</v>
      </c>
      <c r="B89" s="16" t="s">
        <v>87</v>
      </c>
      <c r="C89" s="14" t="s">
        <v>30</v>
      </c>
      <c r="D89" s="14"/>
      <c r="E89" s="14">
        <v>2</v>
      </c>
      <c r="F89" s="28">
        <v>610</v>
      </c>
      <c r="G89" s="33">
        <f t="shared" ref="G89:G156" si="22">F89*E89</f>
        <v>1220</v>
      </c>
      <c r="H89" s="37">
        <v>0.25</v>
      </c>
      <c r="I89" s="33">
        <f t="shared" si="9"/>
        <v>305</v>
      </c>
      <c r="J89" s="33">
        <f t="shared" si="10"/>
        <v>915</v>
      </c>
      <c r="K89" s="47">
        <v>0.18</v>
      </c>
      <c r="L89" s="40">
        <f t="shared" si="11"/>
        <v>1.6469999999999998</v>
      </c>
      <c r="M89" s="40">
        <f t="shared" si="12"/>
        <v>916.64700000000005</v>
      </c>
    </row>
    <row r="90" spans="1:13" ht="24" customHeight="1" x14ac:dyDescent="0.3">
      <c r="A90" s="16">
        <v>78</v>
      </c>
      <c r="B90" s="16" t="s">
        <v>231</v>
      </c>
      <c r="C90" s="14" t="s">
        <v>30</v>
      </c>
      <c r="D90" s="14"/>
      <c r="E90" s="14">
        <v>1</v>
      </c>
      <c r="F90" s="28">
        <v>25800</v>
      </c>
      <c r="G90" s="33">
        <f t="shared" si="22"/>
        <v>25800</v>
      </c>
      <c r="H90" s="37">
        <v>0.25</v>
      </c>
      <c r="I90" s="33">
        <f t="shared" si="9"/>
        <v>6450</v>
      </c>
      <c r="J90" s="33">
        <f t="shared" si="10"/>
        <v>19350</v>
      </c>
      <c r="K90" s="47">
        <v>0.18</v>
      </c>
      <c r="L90" s="40">
        <f t="shared" si="11"/>
        <v>34.83</v>
      </c>
      <c r="M90" s="40">
        <f t="shared" si="12"/>
        <v>19384.830000000002</v>
      </c>
    </row>
    <row r="91" spans="1:13" ht="24" customHeight="1" x14ac:dyDescent="0.3">
      <c r="A91" s="16">
        <v>79</v>
      </c>
      <c r="B91" s="16" t="s">
        <v>88</v>
      </c>
      <c r="C91" s="14" t="s">
        <v>30</v>
      </c>
      <c r="D91" s="14"/>
      <c r="E91" s="14">
        <v>1</v>
      </c>
      <c r="F91" s="28">
        <v>1960</v>
      </c>
      <c r="G91" s="33">
        <f t="shared" si="22"/>
        <v>1960</v>
      </c>
      <c r="H91" s="37">
        <v>0.25</v>
      </c>
      <c r="I91" s="33">
        <f t="shared" si="9"/>
        <v>490</v>
      </c>
      <c r="J91" s="33">
        <f t="shared" si="10"/>
        <v>1470</v>
      </c>
      <c r="K91" s="47">
        <v>0.05</v>
      </c>
      <c r="L91" s="40">
        <f t="shared" si="11"/>
        <v>0.73499999999999999</v>
      </c>
      <c r="M91" s="40">
        <f t="shared" si="12"/>
        <v>1470.7349999999999</v>
      </c>
    </row>
    <row r="92" spans="1:13" ht="24" customHeight="1" x14ac:dyDescent="0.3">
      <c r="A92" s="16">
        <v>80</v>
      </c>
      <c r="B92" s="16" t="s">
        <v>89</v>
      </c>
      <c r="C92" s="14" t="s">
        <v>31</v>
      </c>
      <c r="D92" s="14"/>
      <c r="E92" s="14">
        <v>1</v>
      </c>
      <c r="F92" s="28">
        <v>1900</v>
      </c>
      <c r="G92" s="33">
        <f t="shared" si="22"/>
        <v>1900</v>
      </c>
      <c r="H92" s="37">
        <v>0.4</v>
      </c>
      <c r="I92" s="33">
        <f t="shared" si="9"/>
        <v>760</v>
      </c>
      <c r="J92" s="33">
        <f t="shared" si="10"/>
        <v>1140</v>
      </c>
      <c r="K92" s="47">
        <v>0.18</v>
      </c>
      <c r="L92" s="40">
        <f t="shared" si="11"/>
        <v>2.052</v>
      </c>
      <c r="M92" s="40">
        <f t="shared" si="12"/>
        <v>1142.0519999999999</v>
      </c>
    </row>
    <row r="93" spans="1:13" ht="24" customHeight="1" x14ac:dyDescent="0.3">
      <c r="A93" s="16">
        <v>81</v>
      </c>
      <c r="B93" s="18" t="s">
        <v>146</v>
      </c>
      <c r="C93" s="14"/>
      <c r="D93" s="14"/>
      <c r="E93" s="14"/>
      <c r="F93" s="28"/>
      <c r="G93" s="33">
        <f t="shared" si="22"/>
        <v>0</v>
      </c>
      <c r="H93" s="37"/>
      <c r="I93" s="33">
        <f t="shared" si="9"/>
        <v>0</v>
      </c>
      <c r="J93" s="33">
        <f t="shared" si="10"/>
        <v>0</v>
      </c>
      <c r="K93" s="38"/>
      <c r="L93" s="40">
        <f t="shared" si="11"/>
        <v>0</v>
      </c>
      <c r="M93" s="40">
        <f t="shared" si="12"/>
        <v>0</v>
      </c>
    </row>
    <row r="94" spans="1:13" ht="24" customHeight="1" x14ac:dyDescent="0.3">
      <c r="A94" s="16">
        <v>82</v>
      </c>
      <c r="B94" s="16" t="s">
        <v>90</v>
      </c>
      <c r="C94" s="14" t="s">
        <v>30</v>
      </c>
      <c r="D94" s="14"/>
      <c r="E94" s="14">
        <v>3</v>
      </c>
      <c r="F94" s="28">
        <v>500</v>
      </c>
      <c r="G94" s="33">
        <f t="shared" si="22"/>
        <v>1500</v>
      </c>
      <c r="H94" s="37">
        <v>0.25</v>
      </c>
      <c r="I94" s="33">
        <f t="shared" si="9"/>
        <v>375</v>
      </c>
      <c r="J94" s="33">
        <f t="shared" si="10"/>
        <v>1125</v>
      </c>
      <c r="K94" s="47">
        <v>0.18</v>
      </c>
      <c r="L94" s="40">
        <f t="shared" si="11"/>
        <v>2.0249999999999999</v>
      </c>
      <c r="M94" s="40">
        <f t="shared" si="12"/>
        <v>1127.0250000000001</v>
      </c>
    </row>
    <row r="95" spans="1:13" ht="24" customHeight="1" x14ac:dyDescent="0.3">
      <c r="A95" s="16">
        <v>83</v>
      </c>
      <c r="B95" s="16" t="s">
        <v>232</v>
      </c>
      <c r="C95" s="14" t="s">
        <v>40</v>
      </c>
      <c r="D95" s="14"/>
      <c r="E95" s="14">
        <v>1</v>
      </c>
      <c r="F95" s="28">
        <v>1647</v>
      </c>
      <c r="G95" s="33">
        <f t="shared" si="22"/>
        <v>1647</v>
      </c>
      <c r="H95" s="37">
        <v>0.4</v>
      </c>
      <c r="I95" s="33">
        <f t="shared" si="9"/>
        <v>658.80000000000007</v>
      </c>
      <c r="J95" s="33">
        <f t="shared" si="10"/>
        <v>988.19999999999993</v>
      </c>
      <c r="K95" s="47">
        <v>0.18</v>
      </c>
      <c r="L95" s="40">
        <f t="shared" si="11"/>
        <v>1.7787599999999997</v>
      </c>
      <c r="M95" s="40">
        <f t="shared" si="12"/>
        <v>989.97875999999997</v>
      </c>
    </row>
    <row r="96" spans="1:13" ht="24" customHeight="1" x14ac:dyDescent="0.3">
      <c r="A96" s="16">
        <v>84</v>
      </c>
      <c r="B96" s="16" t="s">
        <v>91</v>
      </c>
      <c r="C96" s="14" t="s">
        <v>40</v>
      </c>
      <c r="D96" s="14"/>
      <c r="E96" s="14">
        <v>2</v>
      </c>
      <c r="F96" s="28">
        <v>447</v>
      </c>
      <c r="G96" s="33">
        <f t="shared" si="22"/>
        <v>894</v>
      </c>
      <c r="H96" s="37">
        <v>0.4</v>
      </c>
      <c r="I96" s="33">
        <f t="shared" si="9"/>
        <v>357.6</v>
      </c>
      <c r="J96" s="33">
        <f t="shared" si="10"/>
        <v>536.4</v>
      </c>
      <c r="K96" s="47">
        <v>0.18</v>
      </c>
      <c r="L96" s="40">
        <f t="shared" si="11"/>
        <v>0.96551999999999993</v>
      </c>
      <c r="M96" s="40">
        <f t="shared" si="12"/>
        <v>537.36551999999995</v>
      </c>
    </row>
    <row r="97" spans="1:14" ht="24" customHeight="1" x14ac:dyDescent="0.3">
      <c r="A97" s="16">
        <v>85</v>
      </c>
      <c r="B97" s="16" t="s">
        <v>91</v>
      </c>
      <c r="C97" s="14" t="s">
        <v>40</v>
      </c>
      <c r="D97" s="14"/>
      <c r="E97" s="14">
        <v>1</v>
      </c>
      <c r="F97" s="28">
        <v>447</v>
      </c>
      <c r="G97" s="33">
        <f t="shared" si="22"/>
        <v>447</v>
      </c>
      <c r="H97" s="37">
        <v>0.4</v>
      </c>
      <c r="I97" s="33">
        <f t="shared" si="9"/>
        <v>178.8</v>
      </c>
      <c r="J97" s="33">
        <f t="shared" si="10"/>
        <v>268.2</v>
      </c>
      <c r="K97" s="47">
        <v>0.18</v>
      </c>
      <c r="L97" s="40">
        <f t="shared" si="11"/>
        <v>0.48275999999999997</v>
      </c>
      <c r="M97" s="40">
        <f t="shared" si="12"/>
        <v>268.68275999999997</v>
      </c>
    </row>
    <row r="98" spans="1:14" ht="24" customHeight="1" x14ac:dyDescent="0.3">
      <c r="A98" s="16">
        <v>86</v>
      </c>
      <c r="B98" s="16" t="s">
        <v>92</v>
      </c>
      <c r="C98" s="14" t="s">
        <v>30</v>
      </c>
      <c r="D98" s="14"/>
      <c r="E98" s="14">
        <v>1</v>
      </c>
      <c r="F98" s="28">
        <v>490</v>
      </c>
      <c r="G98" s="33">
        <f t="shared" si="22"/>
        <v>490</v>
      </c>
      <c r="H98" s="37">
        <v>0.25</v>
      </c>
      <c r="I98" s="33">
        <f t="shared" si="9"/>
        <v>122.5</v>
      </c>
      <c r="J98" s="33">
        <f t="shared" si="10"/>
        <v>367.5</v>
      </c>
      <c r="K98" s="47">
        <v>0.18</v>
      </c>
      <c r="L98" s="40">
        <f t="shared" si="11"/>
        <v>0.66149999999999987</v>
      </c>
      <c r="M98" s="40">
        <f t="shared" si="12"/>
        <v>368.16149999999999</v>
      </c>
    </row>
    <row r="99" spans="1:14" ht="24" customHeight="1" x14ac:dyDescent="0.3">
      <c r="A99" s="16">
        <v>87</v>
      </c>
      <c r="B99" s="16" t="s">
        <v>93</v>
      </c>
      <c r="C99" s="14" t="s">
        <v>38</v>
      </c>
      <c r="D99" s="14"/>
      <c r="E99" s="14">
        <v>1</v>
      </c>
      <c r="F99" s="27">
        <v>14506</v>
      </c>
      <c r="G99" s="33">
        <f t="shared" si="22"/>
        <v>14506</v>
      </c>
      <c r="H99" s="37">
        <v>0.25</v>
      </c>
      <c r="I99" s="33">
        <f t="shared" si="9"/>
        <v>3626.5</v>
      </c>
      <c r="J99" s="33">
        <f t="shared" si="10"/>
        <v>10879.5</v>
      </c>
      <c r="K99" s="47">
        <v>0.18</v>
      </c>
      <c r="L99" s="40">
        <f t="shared" si="11"/>
        <v>19.583099999999998</v>
      </c>
      <c r="M99" s="40">
        <f t="shared" si="12"/>
        <v>10899.0831</v>
      </c>
    </row>
    <row r="100" spans="1:14" ht="24" customHeight="1" x14ac:dyDescent="0.3">
      <c r="A100" s="16">
        <v>88</v>
      </c>
      <c r="B100" s="16" t="s">
        <v>94</v>
      </c>
      <c r="C100" s="14" t="s">
        <v>30</v>
      </c>
      <c r="D100" s="14"/>
      <c r="E100" s="14">
        <v>1</v>
      </c>
      <c r="F100" s="28">
        <v>340</v>
      </c>
      <c r="G100" s="33">
        <f t="shared" si="22"/>
        <v>340</v>
      </c>
      <c r="H100" s="37">
        <v>0.25</v>
      </c>
      <c r="I100" s="33">
        <f t="shared" si="9"/>
        <v>85</v>
      </c>
      <c r="J100" s="33">
        <f t="shared" si="10"/>
        <v>255</v>
      </c>
      <c r="K100" s="47">
        <v>0.18</v>
      </c>
      <c r="L100" s="40">
        <f t="shared" si="11"/>
        <v>0.45899999999999996</v>
      </c>
      <c r="M100" s="40">
        <f t="shared" si="12"/>
        <v>255.459</v>
      </c>
    </row>
    <row r="101" spans="1:14" ht="24" customHeight="1" x14ac:dyDescent="0.3">
      <c r="A101" s="16">
        <v>89</v>
      </c>
      <c r="B101" s="16" t="s">
        <v>95</v>
      </c>
      <c r="C101" s="14" t="s">
        <v>31</v>
      </c>
      <c r="D101" s="14"/>
      <c r="E101" s="14">
        <v>2</v>
      </c>
      <c r="F101" s="28">
        <v>3960</v>
      </c>
      <c r="G101" s="33">
        <f t="shared" si="22"/>
        <v>7920</v>
      </c>
      <c r="H101" s="37">
        <v>0.4</v>
      </c>
      <c r="I101" s="33">
        <f t="shared" si="9"/>
        <v>3168</v>
      </c>
      <c r="J101" s="33">
        <f t="shared" si="10"/>
        <v>4752</v>
      </c>
      <c r="K101" s="47">
        <v>0.18</v>
      </c>
      <c r="L101" s="40">
        <f t="shared" si="11"/>
        <v>8.5535999999999994</v>
      </c>
      <c r="M101" s="40">
        <f t="shared" si="12"/>
        <v>4760.5536000000002</v>
      </c>
    </row>
    <row r="102" spans="1:14" ht="24" customHeight="1" x14ac:dyDescent="0.3">
      <c r="A102" s="16">
        <v>90</v>
      </c>
      <c r="B102" s="16" t="s">
        <v>96</v>
      </c>
      <c r="C102" s="14" t="s">
        <v>30</v>
      </c>
      <c r="D102" s="14"/>
      <c r="E102" s="14">
        <v>6</v>
      </c>
      <c r="F102" s="28">
        <v>450</v>
      </c>
      <c r="G102" s="33">
        <f t="shared" si="22"/>
        <v>2700</v>
      </c>
      <c r="H102" s="37">
        <v>0.25</v>
      </c>
      <c r="I102" s="33">
        <f t="shared" si="9"/>
        <v>675</v>
      </c>
      <c r="J102" s="33">
        <f t="shared" si="10"/>
        <v>2025</v>
      </c>
      <c r="K102" s="47">
        <v>0.05</v>
      </c>
      <c r="L102" s="40">
        <f t="shared" si="11"/>
        <v>1.0125</v>
      </c>
      <c r="M102" s="40">
        <f t="shared" si="12"/>
        <v>2026.0125</v>
      </c>
    </row>
    <row r="103" spans="1:14" ht="24" customHeight="1" x14ac:dyDescent="0.3">
      <c r="A103" s="16">
        <v>91</v>
      </c>
      <c r="B103" s="16" t="s">
        <v>97</v>
      </c>
      <c r="C103" s="14" t="s">
        <v>30</v>
      </c>
      <c r="D103" s="14"/>
      <c r="E103" s="14">
        <v>6</v>
      </c>
      <c r="F103" s="28">
        <v>680</v>
      </c>
      <c r="G103" s="33">
        <f t="shared" si="22"/>
        <v>4080</v>
      </c>
      <c r="H103" s="37">
        <v>0.25</v>
      </c>
      <c r="I103" s="33">
        <f t="shared" si="9"/>
        <v>1020</v>
      </c>
      <c r="J103" s="33">
        <f t="shared" si="10"/>
        <v>3060</v>
      </c>
      <c r="K103" s="47">
        <v>0.05</v>
      </c>
      <c r="L103" s="40">
        <f t="shared" si="11"/>
        <v>1.53</v>
      </c>
      <c r="M103" s="40">
        <f t="shared" si="12"/>
        <v>3061.53</v>
      </c>
    </row>
    <row r="104" spans="1:14" ht="24" customHeight="1" x14ac:dyDescent="0.3">
      <c r="A104" s="16">
        <v>92</v>
      </c>
      <c r="B104" s="16" t="s">
        <v>98</v>
      </c>
      <c r="C104" s="14" t="s">
        <v>30</v>
      </c>
      <c r="D104" s="14"/>
      <c r="E104" s="14">
        <v>1</v>
      </c>
      <c r="F104" s="28">
        <v>320</v>
      </c>
      <c r="G104" s="33">
        <f t="shared" si="22"/>
        <v>320</v>
      </c>
      <c r="H104" s="37">
        <v>0.25</v>
      </c>
      <c r="I104" s="33">
        <f t="shared" si="9"/>
        <v>80</v>
      </c>
      <c r="J104" s="33">
        <f t="shared" si="10"/>
        <v>240</v>
      </c>
      <c r="K104" s="47">
        <v>0.18</v>
      </c>
      <c r="L104" s="40">
        <f t="shared" si="11"/>
        <v>0.43199999999999994</v>
      </c>
      <c r="M104" s="40">
        <f t="shared" si="12"/>
        <v>240.43199999999999</v>
      </c>
    </row>
    <row r="105" spans="1:14" ht="24" customHeight="1" x14ac:dyDescent="0.3">
      <c r="A105" s="16">
        <v>93</v>
      </c>
      <c r="B105" s="16" t="s">
        <v>99</v>
      </c>
      <c r="C105" s="14" t="s">
        <v>40</v>
      </c>
      <c r="D105" s="14"/>
      <c r="E105" s="14">
        <v>5</v>
      </c>
      <c r="F105" s="28">
        <v>535</v>
      </c>
      <c r="G105" s="33">
        <f t="shared" si="22"/>
        <v>2675</v>
      </c>
      <c r="H105" s="37">
        <v>0.4</v>
      </c>
      <c r="I105" s="33">
        <f t="shared" si="9"/>
        <v>1070</v>
      </c>
      <c r="J105" s="33">
        <f t="shared" si="10"/>
        <v>1605</v>
      </c>
      <c r="K105" s="47">
        <v>0.05</v>
      </c>
      <c r="L105" s="40">
        <f t="shared" si="11"/>
        <v>0.80249999999999999</v>
      </c>
      <c r="M105" s="40">
        <f t="shared" si="12"/>
        <v>1605.8025</v>
      </c>
    </row>
    <row r="106" spans="1:14" ht="24" customHeight="1" x14ac:dyDescent="0.3">
      <c r="A106" s="16">
        <v>94</v>
      </c>
      <c r="B106" s="16" t="s">
        <v>100</v>
      </c>
      <c r="C106" s="14" t="s">
        <v>30</v>
      </c>
      <c r="D106" s="14"/>
      <c r="E106" s="14">
        <v>1</v>
      </c>
      <c r="F106" s="28">
        <v>220</v>
      </c>
      <c r="G106" s="33">
        <f t="shared" si="22"/>
        <v>220</v>
      </c>
      <c r="H106" s="37">
        <v>0.25</v>
      </c>
      <c r="I106" s="33">
        <f t="shared" si="9"/>
        <v>55</v>
      </c>
      <c r="J106" s="33">
        <f t="shared" si="10"/>
        <v>165</v>
      </c>
      <c r="K106" s="47">
        <v>0.18</v>
      </c>
      <c r="L106" s="40">
        <f t="shared" si="11"/>
        <v>0.29699999999999999</v>
      </c>
      <c r="M106" s="40">
        <f t="shared" si="12"/>
        <v>165.297</v>
      </c>
    </row>
    <row r="107" spans="1:14" ht="24" customHeight="1" x14ac:dyDescent="0.3">
      <c r="A107" s="16">
        <v>95</v>
      </c>
      <c r="B107" s="20" t="s">
        <v>101</v>
      </c>
      <c r="C107" s="19" t="s">
        <v>38</v>
      </c>
      <c r="D107" s="19"/>
      <c r="E107" s="19">
        <v>1</v>
      </c>
      <c r="F107" s="30">
        <v>295</v>
      </c>
      <c r="G107" s="35">
        <f t="shared" si="22"/>
        <v>295</v>
      </c>
      <c r="H107" s="43">
        <v>0.25</v>
      </c>
      <c r="I107" s="35">
        <f t="shared" si="9"/>
        <v>73.75</v>
      </c>
      <c r="J107" s="35">
        <f t="shared" si="10"/>
        <v>221.25</v>
      </c>
      <c r="K107" s="50">
        <v>0.18</v>
      </c>
      <c r="L107" s="44">
        <f t="shared" si="11"/>
        <v>0.39824999999999994</v>
      </c>
      <c r="M107" s="44">
        <f t="shared" si="12"/>
        <v>221.64824999999999</v>
      </c>
    </row>
    <row r="108" spans="1:14" ht="24" customHeight="1" x14ac:dyDescent="0.3">
      <c r="A108" s="16">
        <v>96</v>
      </c>
      <c r="B108" s="16" t="s">
        <v>102</v>
      </c>
      <c r="C108" s="14" t="s">
        <v>30</v>
      </c>
      <c r="D108" s="14"/>
      <c r="E108" s="14">
        <v>1</v>
      </c>
      <c r="F108" s="28">
        <v>790</v>
      </c>
      <c r="G108" s="33">
        <f t="shared" si="22"/>
        <v>790</v>
      </c>
      <c r="H108" s="37">
        <v>0.25</v>
      </c>
      <c r="I108" s="33">
        <f t="shared" si="9"/>
        <v>197.5</v>
      </c>
      <c r="J108" s="33">
        <f t="shared" si="10"/>
        <v>592.5</v>
      </c>
      <c r="K108" s="47">
        <v>0.18</v>
      </c>
      <c r="L108" s="40">
        <f t="shared" si="11"/>
        <v>1.0665</v>
      </c>
      <c r="M108" s="40">
        <f t="shared" si="12"/>
        <v>593.56650000000002</v>
      </c>
    </row>
    <row r="109" spans="1:14" ht="24" customHeight="1" x14ac:dyDescent="0.3">
      <c r="A109" s="20">
        <v>97</v>
      </c>
      <c r="B109" s="20" t="s">
        <v>103</v>
      </c>
      <c r="C109" s="19" t="s">
        <v>31</v>
      </c>
      <c r="D109" s="19"/>
      <c r="E109" s="19">
        <v>1</v>
      </c>
      <c r="F109" s="30">
        <v>861</v>
      </c>
      <c r="G109" s="35">
        <f t="shared" si="22"/>
        <v>861</v>
      </c>
      <c r="H109" s="43">
        <v>0.4</v>
      </c>
      <c r="I109" s="35">
        <f t="shared" si="9"/>
        <v>344.40000000000003</v>
      </c>
      <c r="J109" s="35">
        <f t="shared" si="10"/>
        <v>516.59999999999991</v>
      </c>
      <c r="K109" s="50">
        <v>0.18</v>
      </c>
      <c r="L109" s="44">
        <f t="shared" si="11"/>
        <v>0.92987999999999982</v>
      </c>
      <c r="M109" s="44">
        <f t="shared" si="12"/>
        <v>517.52987999999993</v>
      </c>
      <c r="N109" s="52"/>
    </row>
    <row r="110" spans="1:14" ht="24" customHeight="1" x14ac:dyDescent="0.3">
      <c r="A110" s="16">
        <v>98</v>
      </c>
      <c r="B110" s="23" t="s">
        <v>233</v>
      </c>
      <c r="C110" s="24" t="s">
        <v>27</v>
      </c>
      <c r="D110" s="15"/>
      <c r="E110" s="24">
        <v>1</v>
      </c>
      <c r="F110" s="32">
        <v>600</v>
      </c>
      <c r="G110" s="36">
        <f t="shared" si="22"/>
        <v>600</v>
      </c>
      <c r="H110" s="45">
        <v>0.4</v>
      </c>
      <c r="I110" s="36">
        <f t="shared" si="9"/>
        <v>240</v>
      </c>
      <c r="J110" s="36">
        <f t="shared" si="10"/>
        <v>360</v>
      </c>
      <c r="K110" s="51">
        <v>0.05</v>
      </c>
      <c r="L110" s="46">
        <f t="shared" si="11"/>
        <v>0.18</v>
      </c>
      <c r="M110" s="46">
        <f t="shared" si="12"/>
        <v>360.18</v>
      </c>
    </row>
    <row r="111" spans="1:14" ht="24" customHeight="1" x14ac:dyDescent="0.3">
      <c r="A111" s="16">
        <v>99</v>
      </c>
      <c r="B111" s="16" t="s">
        <v>234</v>
      </c>
      <c r="C111" s="14" t="s">
        <v>27</v>
      </c>
      <c r="D111" s="14"/>
      <c r="E111" s="14">
        <v>1</v>
      </c>
      <c r="F111" s="28">
        <v>1375</v>
      </c>
      <c r="G111" s="33">
        <f t="shared" si="22"/>
        <v>1375</v>
      </c>
      <c r="H111" s="37">
        <v>0.4</v>
      </c>
      <c r="I111" s="33">
        <f t="shared" si="9"/>
        <v>550</v>
      </c>
      <c r="J111" s="33">
        <f t="shared" si="10"/>
        <v>825</v>
      </c>
      <c r="K111" s="47">
        <v>0.05</v>
      </c>
      <c r="L111" s="40">
        <f t="shared" si="11"/>
        <v>0.41249999999999998</v>
      </c>
      <c r="M111" s="40">
        <f t="shared" si="12"/>
        <v>825.41250000000002</v>
      </c>
    </row>
    <row r="112" spans="1:14" ht="24" customHeight="1" x14ac:dyDescent="0.3">
      <c r="A112" s="16">
        <v>100</v>
      </c>
      <c r="B112" s="16" t="s">
        <v>104</v>
      </c>
      <c r="C112" s="14" t="s">
        <v>27</v>
      </c>
      <c r="D112" s="14"/>
      <c r="E112" s="14">
        <v>2</v>
      </c>
      <c r="F112" s="28">
        <v>313</v>
      </c>
      <c r="G112" s="33">
        <f t="shared" si="22"/>
        <v>626</v>
      </c>
      <c r="H112" s="37">
        <v>0.4</v>
      </c>
      <c r="I112" s="33">
        <f t="shared" si="9"/>
        <v>250.4</v>
      </c>
      <c r="J112" s="33">
        <f t="shared" si="10"/>
        <v>375.6</v>
      </c>
      <c r="K112" s="47">
        <v>0.18</v>
      </c>
      <c r="L112" s="40">
        <f t="shared" si="11"/>
        <v>0.67608000000000001</v>
      </c>
      <c r="M112" s="40">
        <f t="shared" si="12"/>
        <v>376.27608000000004</v>
      </c>
    </row>
    <row r="113" spans="1:13" ht="24" customHeight="1" x14ac:dyDescent="0.3">
      <c r="A113" s="16">
        <v>101</v>
      </c>
      <c r="B113" s="16" t="s">
        <v>105</v>
      </c>
      <c r="C113" s="14" t="s">
        <v>28</v>
      </c>
      <c r="D113" s="14"/>
      <c r="E113" s="14">
        <v>1</v>
      </c>
      <c r="F113" s="28">
        <v>535</v>
      </c>
      <c r="G113" s="33">
        <f t="shared" si="22"/>
        <v>535</v>
      </c>
      <c r="H113" s="37">
        <v>0.4</v>
      </c>
      <c r="I113" s="33">
        <f t="shared" si="9"/>
        <v>214</v>
      </c>
      <c r="J113" s="33">
        <f t="shared" si="10"/>
        <v>321</v>
      </c>
      <c r="K113" s="47">
        <v>0.18</v>
      </c>
      <c r="L113" s="40">
        <f t="shared" si="11"/>
        <v>0.57779999999999998</v>
      </c>
      <c r="M113" s="40">
        <f t="shared" si="12"/>
        <v>321.57780000000002</v>
      </c>
    </row>
    <row r="114" spans="1:13" ht="24" customHeight="1" x14ac:dyDescent="0.3">
      <c r="A114" s="16">
        <v>102</v>
      </c>
      <c r="B114" s="23" t="s">
        <v>235</v>
      </c>
      <c r="C114" s="14" t="s">
        <v>27</v>
      </c>
      <c r="D114" s="14"/>
      <c r="E114" s="14">
        <v>2</v>
      </c>
      <c r="F114" s="28">
        <v>313</v>
      </c>
      <c r="G114" s="33">
        <f t="shared" si="22"/>
        <v>626</v>
      </c>
      <c r="H114" s="37">
        <v>0.4</v>
      </c>
      <c r="I114" s="33">
        <f t="shared" si="9"/>
        <v>250.4</v>
      </c>
      <c r="J114" s="33">
        <f t="shared" si="10"/>
        <v>375.6</v>
      </c>
      <c r="K114" s="47">
        <v>0.05</v>
      </c>
      <c r="L114" s="40">
        <f t="shared" si="11"/>
        <v>0.18780000000000002</v>
      </c>
      <c r="M114" s="40">
        <f t="shared" si="12"/>
        <v>375.7878</v>
      </c>
    </row>
    <row r="115" spans="1:13" ht="24" customHeight="1" x14ac:dyDescent="0.3">
      <c r="A115" s="16">
        <v>103</v>
      </c>
      <c r="B115" s="16" t="s">
        <v>106</v>
      </c>
      <c r="C115" s="14" t="s">
        <v>227</v>
      </c>
      <c r="D115" s="14"/>
      <c r="E115" s="14">
        <v>1</v>
      </c>
      <c r="F115" s="28">
        <v>550</v>
      </c>
      <c r="G115" s="33">
        <f t="shared" si="22"/>
        <v>550</v>
      </c>
      <c r="H115" s="37">
        <v>0.4</v>
      </c>
      <c r="I115" s="33">
        <f t="shared" si="9"/>
        <v>220</v>
      </c>
      <c r="J115" s="33">
        <f t="shared" si="10"/>
        <v>330</v>
      </c>
      <c r="K115" s="47">
        <v>0.18</v>
      </c>
      <c r="L115" s="40">
        <f t="shared" si="11"/>
        <v>0.59399999999999997</v>
      </c>
      <c r="M115" s="40">
        <f t="shared" si="12"/>
        <v>330.59399999999999</v>
      </c>
    </row>
    <row r="116" spans="1:13" ht="24" customHeight="1" x14ac:dyDescent="0.3">
      <c r="A116" s="16">
        <v>104</v>
      </c>
      <c r="B116" s="16" t="s">
        <v>107</v>
      </c>
      <c r="C116" s="14" t="s">
        <v>227</v>
      </c>
      <c r="D116" s="14"/>
      <c r="E116" s="14">
        <v>1</v>
      </c>
      <c r="F116" s="28">
        <v>1503</v>
      </c>
      <c r="G116" s="33">
        <f t="shared" si="22"/>
        <v>1503</v>
      </c>
      <c r="H116" s="37">
        <v>0.4</v>
      </c>
      <c r="I116" s="33">
        <f t="shared" si="9"/>
        <v>601.20000000000005</v>
      </c>
      <c r="J116" s="33">
        <f t="shared" si="10"/>
        <v>901.8</v>
      </c>
      <c r="K116" s="47">
        <v>0.18</v>
      </c>
      <c r="L116" s="40">
        <f t="shared" si="11"/>
        <v>1.6232399999999998</v>
      </c>
      <c r="M116" s="40">
        <f t="shared" si="12"/>
        <v>903.42323999999996</v>
      </c>
    </row>
    <row r="117" spans="1:13" ht="24" customHeight="1" x14ac:dyDescent="0.3">
      <c r="A117" s="16">
        <v>105</v>
      </c>
      <c r="B117" s="16" t="s">
        <v>107</v>
      </c>
      <c r="C117" s="14" t="s">
        <v>227</v>
      </c>
      <c r="D117" s="14"/>
      <c r="E117" s="14">
        <v>1</v>
      </c>
      <c r="F117" s="28">
        <v>1503</v>
      </c>
      <c r="G117" s="33">
        <f t="shared" si="22"/>
        <v>1503</v>
      </c>
      <c r="H117" s="37">
        <v>0.4</v>
      </c>
      <c r="I117" s="33">
        <f t="shared" si="9"/>
        <v>601.20000000000005</v>
      </c>
      <c r="J117" s="33">
        <f t="shared" si="10"/>
        <v>901.8</v>
      </c>
      <c r="K117" s="47">
        <v>0.18</v>
      </c>
      <c r="L117" s="40">
        <f t="shared" si="11"/>
        <v>1.6232399999999998</v>
      </c>
      <c r="M117" s="40">
        <f t="shared" si="12"/>
        <v>903.42323999999996</v>
      </c>
    </row>
    <row r="118" spans="1:13" ht="24" customHeight="1" x14ac:dyDescent="0.3">
      <c r="A118" s="16">
        <v>106</v>
      </c>
      <c r="B118" s="16" t="s">
        <v>79</v>
      </c>
      <c r="C118" s="14" t="s">
        <v>29</v>
      </c>
      <c r="D118" s="14"/>
      <c r="E118" s="14">
        <v>1</v>
      </c>
      <c r="F118" s="28">
        <v>390</v>
      </c>
      <c r="G118" s="33">
        <f t="shared" si="22"/>
        <v>390</v>
      </c>
      <c r="H118" s="37">
        <v>0.25</v>
      </c>
      <c r="I118" s="33">
        <f t="shared" si="9"/>
        <v>97.5</v>
      </c>
      <c r="J118" s="33">
        <f t="shared" si="10"/>
        <v>292.5</v>
      </c>
      <c r="K118" s="47">
        <v>0.05</v>
      </c>
      <c r="L118" s="40">
        <f t="shared" si="11"/>
        <v>0.14624999999999999</v>
      </c>
      <c r="M118" s="40">
        <f t="shared" si="12"/>
        <v>292.64625000000001</v>
      </c>
    </row>
    <row r="119" spans="1:13" ht="24" customHeight="1" x14ac:dyDescent="0.3">
      <c r="A119" s="16">
        <v>107</v>
      </c>
      <c r="B119" s="16" t="s">
        <v>257</v>
      </c>
      <c r="C119" s="14" t="s">
        <v>258</v>
      </c>
      <c r="D119" s="14"/>
      <c r="E119" s="14">
        <v>1</v>
      </c>
      <c r="F119" s="28">
        <v>4365</v>
      </c>
      <c r="G119" s="33">
        <f t="shared" si="22"/>
        <v>4365</v>
      </c>
      <c r="H119" s="37">
        <v>0.05</v>
      </c>
      <c r="I119" s="33">
        <f t="shared" si="9"/>
        <v>218.25</v>
      </c>
      <c r="J119" s="33">
        <f t="shared" si="10"/>
        <v>4146.75</v>
      </c>
      <c r="K119" s="47">
        <v>0.05</v>
      </c>
      <c r="L119" s="40">
        <f t="shared" si="11"/>
        <v>2.073375</v>
      </c>
      <c r="M119" s="40">
        <f t="shared" si="12"/>
        <v>4148.8233749999999</v>
      </c>
    </row>
    <row r="120" spans="1:13" ht="24" customHeight="1" x14ac:dyDescent="0.3">
      <c r="A120" s="16">
        <v>108</v>
      </c>
      <c r="B120" s="16" t="s">
        <v>292</v>
      </c>
      <c r="C120" s="14" t="s">
        <v>38</v>
      </c>
      <c r="D120" s="14"/>
      <c r="E120" s="14">
        <v>1</v>
      </c>
      <c r="F120" s="28">
        <v>218</v>
      </c>
      <c r="G120" s="33">
        <f t="shared" si="22"/>
        <v>218</v>
      </c>
      <c r="H120" s="37">
        <v>0.25</v>
      </c>
      <c r="I120" s="33">
        <f t="shared" si="9"/>
        <v>54.5</v>
      </c>
      <c r="J120" s="33">
        <f t="shared" si="10"/>
        <v>163.5</v>
      </c>
      <c r="K120" s="47">
        <v>0.05</v>
      </c>
      <c r="L120" s="40">
        <f t="shared" si="11"/>
        <v>8.1750000000000003E-2</v>
      </c>
      <c r="M120" s="40">
        <f t="shared" si="12"/>
        <v>163.58175</v>
      </c>
    </row>
    <row r="121" spans="1:13" ht="24" customHeight="1" x14ac:dyDescent="0.3">
      <c r="A121" s="16">
        <v>109</v>
      </c>
      <c r="B121" s="16" t="s">
        <v>108</v>
      </c>
      <c r="C121" s="14" t="s">
        <v>28</v>
      </c>
      <c r="D121" s="14"/>
      <c r="E121" s="14">
        <v>1</v>
      </c>
      <c r="F121" s="28">
        <v>8495</v>
      </c>
      <c r="G121" s="33">
        <f t="shared" si="22"/>
        <v>8495</v>
      </c>
      <c r="H121" s="37">
        <v>0.4</v>
      </c>
      <c r="I121" s="33">
        <f t="shared" si="9"/>
        <v>3398</v>
      </c>
      <c r="J121" s="33">
        <f t="shared" si="10"/>
        <v>5097</v>
      </c>
      <c r="K121" s="47">
        <v>0.18</v>
      </c>
      <c r="L121" s="40">
        <f t="shared" si="11"/>
        <v>9.1745999999999999</v>
      </c>
      <c r="M121" s="40">
        <f t="shared" si="12"/>
        <v>5106.1746000000003</v>
      </c>
    </row>
    <row r="122" spans="1:13" ht="24" customHeight="1" x14ac:dyDescent="0.3">
      <c r="A122" s="16">
        <v>110</v>
      </c>
      <c r="B122" s="16" t="s">
        <v>109</v>
      </c>
      <c r="C122" s="14" t="s">
        <v>30</v>
      </c>
      <c r="D122" s="14"/>
      <c r="E122" s="14">
        <v>1</v>
      </c>
      <c r="F122" s="28">
        <v>560</v>
      </c>
      <c r="G122" s="33">
        <f t="shared" si="22"/>
        <v>560</v>
      </c>
      <c r="H122" s="37">
        <v>0.25</v>
      </c>
      <c r="I122" s="33">
        <f t="shared" si="9"/>
        <v>140</v>
      </c>
      <c r="J122" s="33">
        <f t="shared" si="10"/>
        <v>420</v>
      </c>
      <c r="K122" s="47">
        <v>0.05</v>
      </c>
      <c r="L122" s="40">
        <f t="shared" si="11"/>
        <v>0.21</v>
      </c>
      <c r="M122" s="40">
        <f t="shared" si="12"/>
        <v>420.21</v>
      </c>
    </row>
    <row r="123" spans="1:13" ht="24" customHeight="1" x14ac:dyDescent="0.3">
      <c r="A123" s="16">
        <v>111</v>
      </c>
      <c r="B123" s="16" t="s">
        <v>110</v>
      </c>
      <c r="C123" s="14" t="s">
        <v>31</v>
      </c>
      <c r="D123" s="14"/>
      <c r="E123" s="14">
        <v>1</v>
      </c>
      <c r="F123" s="28">
        <v>700</v>
      </c>
      <c r="G123" s="33">
        <f t="shared" si="22"/>
        <v>700</v>
      </c>
      <c r="H123" s="37">
        <v>0.4</v>
      </c>
      <c r="I123" s="33">
        <f t="shared" si="9"/>
        <v>280</v>
      </c>
      <c r="J123" s="33">
        <f t="shared" si="10"/>
        <v>420</v>
      </c>
      <c r="K123" s="47">
        <v>0.18</v>
      </c>
      <c r="L123" s="40">
        <f t="shared" si="11"/>
        <v>0.75599999999999989</v>
      </c>
      <c r="M123" s="40">
        <f t="shared" si="12"/>
        <v>420.75599999999997</v>
      </c>
    </row>
    <row r="124" spans="1:13" ht="24" customHeight="1" x14ac:dyDescent="0.3">
      <c r="A124" s="16">
        <v>112</v>
      </c>
      <c r="B124" s="23" t="s">
        <v>237</v>
      </c>
      <c r="C124" s="14" t="s">
        <v>30</v>
      </c>
      <c r="D124" s="14"/>
      <c r="E124" s="14">
        <v>1</v>
      </c>
      <c r="F124" s="28">
        <v>460</v>
      </c>
      <c r="G124" s="33">
        <f t="shared" si="22"/>
        <v>460</v>
      </c>
      <c r="H124" s="37">
        <v>0.25</v>
      </c>
      <c r="I124" s="33">
        <f t="shared" si="9"/>
        <v>115</v>
      </c>
      <c r="J124" s="33">
        <f t="shared" si="10"/>
        <v>345</v>
      </c>
      <c r="K124" s="47">
        <v>0.05</v>
      </c>
      <c r="L124" s="40">
        <f t="shared" si="11"/>
        <v>0.17249999999999999</v>
      </c>
      <c r="M124" s="40">
        <f t="shared" si="12"/>
        <v>345.17250000000001</v>
      </c>
    </row>
    <row r="125" spans="1:13" ht="24" customHeight="1" x14ac:dyDescent="0.3">
      <c r="A125" s="16">
        <v>113</v>
      </c>
      <c r="B125" s="16" t="s">
        <v>111</v>
      </c>
      <c r="C125" s="14" t="s">
        <v>40</v>
      </c>
      <c r="D125" s="14"/>
      <c r="E125" s="14">
        <v>1</v>
      </c>
      <c r="F125" s="28">
        <v>362</v>
      </c>
      <c r="G125" s="33">
        <f t="shared" si="22"/>
        <v>362</v>
      </c>
      <c r="H125" s="37">
        <v>0.4</v>
      </c>
      <c r="I125" s="33">
        <f t="shared" si="9"/>
        <v>144.80000000000001</v>
      </c>
      <c r="J125" s="33">
        <f t="shared" si="10"/>
        <v>217.2</v>
      </c>
      <c r="K125" s="47">
        <v>0.18</v>
      </c>
      <c r="L125" s="40">
        <f t="shared" si="11"/>
        <v>0.39095999999999997</v>
      </c>
      <c r="M125" s="40">
        <f t="shared" si="12"/>
        <v>217.59096</v>
      </c>
    </row>
    <row r="126" spans="1:13" ht="24" customHeight="1" x14ac:dyDescent="0.3">
      <c r="A126" s="16">
        <v>114</v>
      </c>
      <c r="B126" s="18" t="s">
        <v>147</v>
      </c>
      <c r="C126" s="14"/>
      <c r="D126" s="14"/>
      <c r="E126" s="14"/>
      <c r="F126" s="28"/>
      <c r="G126" s="33">
        <f t="shared" si="22"/>
        <v>0</v>
      </c>
      <c r="H126" s="37"/>
      <c r="I126" s="33">
        <f t="shared" si="9"/>
        <v>0</v>
      </c>
      <c r="J126" s="33">
        <f t="shared" si="10"/>
        <v>0</v>
      </c>
      <c r="K126" s="38"/>
      <c r="L126" s="40">
        <f t="shared" si="11"/>
        <v>0</v>
      </c>
      <c r="M126" s="40">
        <f t="shared" si="12"/>
        <v>0</v>
      </c>
    </row>
    <row r="127" spans="1:13" ht="24" customHeight="1" x14ac:dyDescent="0.3">
      <c r="A127" s="16">
        <v>115</v>
      </c>
      <c r="B127" s="16" t="s">
        <v>280</v>
      </c>
      <c r="C127" s="14" t="s">
        <v>281</v>
      </c>
      <c r="D127" s="14"/>
      <c r="E127" s="14">
        <v>1</v>
      </c>
      <c r="F127" s="28">
        <v>3274</v>
      </c>
      <c r="G127" s="33">
        <f t="shared" si="22"/>
        <v>3274</v>
      </c>
      <c r="H127" s="37">
        <v>0.05</v>
      </c>
      <c r="I127" s="33">
        <f t="shared" si="9"/>
        <v>163.70000000000002</v>
      </c>
      <c r="J127" s="33">
        <f t="shared" si="10"/>
        <v>3110.3</v>
      </c>
      <c r="K127" s="47">
        <v>0.05</v>
      </c>
      <c r="L127" s="40">
        <f t="shared" si="11"/>
        <v>1.5551500000000003</v>
      </c>
      <c r="M127" s="40">
        <f t="shared" si="12"/>
        <v>3111.8551500000003</v>
      </c>
    </row>
    <row r="128" spans="1:13" ht="24" customHeight="1" x14ac:dyDescent="0.3">
      <c r="A128" s="16">
        <v>116</v>
      </c>
      <c r="B128" s="16" t="s">
        <v>282</v>
      </c>
      <c r="C128" s="14" t="s">
        <v>258</v>
      </c>
      <c r="D128" s="14"/>
      <c r="E128" s="14">
        <v>1</v>
      </c>
      <c r="F128" s="28">
        <v>4883</v>
      </c>
      <c r="G128" s="33">
        <f t="shared" si="22"/>
        <v>4883</v>
      </c>
      <c r="H128" s="37">
        <v>0.05</v>
      </c>
      <c r="I128" s="33">
        <f t="shared" si="9"/>
        <v>244.15</v>
      </c>
      <c r="J128" s="33">
        <f t="shared" si="10"/>
        <v>4638.8500000000004</v>
      </c>
      <c r="K128" s="47">
        <v>0.05</v>
      </c>
      <c r="L128" s="40">
        <f t="shared" si="11"/>
        <v>2.3194250000000003</v>
      </c>
      <c r="M128" s="40">
        <f t="shared" si="12"/>
        <v>4641.169425</v>
      </c>
    </row>
    <row r="129" spans="1:13" ht="24" customHeight="1" x14ac:dyDescent="0.3">
      <c r="A129" s="16">
        <v>117</v>
      </c>
      <c r="B129" s="54" t="s">
        <v>279</v>
      </c>
      <c r="C129" s="14" t="s">
        <v>236</v>
      </c>
      <c r="D129" s="14"/>
      <c r="E129" s="14">
        <v>1</v>
      </c>
      <c r="F129" s="28">
        <v>21500</v>
      </c>
      <c r="G129" s="33">
        <f t="shared" si="22"/>
        <v>21500</v>
      </c>
      <c r="H129" s="37">
        <v>0</v>
      </c>
      <c r="I129" s="33">
        <f t="shared" si="9"/>
        <v>0</v>
      </c>
      <c r="J129" s="33">
        <f t="shared" si="10"/>
        <v>21500</v>
      </c>
      <c r="K129" s="47">
        <v>0.18</v>
      </c>
      <c r="L129" s="40">
        <f t="shared" si="11"/>
        <v>38.700000000000003</v>
      </c>
      <c r="M129" s="40">
        <f t="shared" si="12"/>
        <v>21538.7</v>
      </c>
    </row>
    <row r="130" spans="1:13" ht="24" customHeight="1" x14ac:dyDescent="0.3">
      <c r="A130" s="16">
        <v>118</v>
      </c>
      <c r="B130" s="16" t="s">
        <v>112</v>
      </c>
      <c r="C130" s="14" t="s">
        <v>31</v>
      </c>
      <c r="D130" s="14"/>
      <c r="E130" s="14">
        <v>3</v>
      </c>
      <c r="F130" s="28">
        <v>200</v>
      </c>
      <c r="G130" s="33">
        <f t="shared" si="22"/>
        <v>600</v>
      </c>
      <c r="H130" s="37">
        <v>0.4</v>
      </c>
      <c r="I130" s="33">
        <f t="shared" si="9"/>
        <v>240</v>
      </c>
      <c r="J130" s="33">
        <f t="shared" si="10"/>
        <v>360</v>
      </c>
      <c r="K130" s="47">
        <v>0.18</v>
      </c>
      <c r="L130" s="40">
        <f t="shared" si="11"/>
        <v>0.64800000000000002</v>
      </c>
      <c r="M130" s="40">
        <f t="shared" si="12"/>
        <v>360.64800000000002</v>
      </c>
    </row>
    <row r="131" spans="1:13" ht="24" customHeight="1" x14ac:dyDescent="0.3">
      <c r="A131" s="16">
        <v>119</v>
      </c>
      <c r="B131" s="54" t="s">
        <v>260</v>
      </c>
      <c r="C131" s="14" t="s">
        <v>236</v>
      </c>
      <c r="D131" s="14"/>
      <c r="E131" s="14">
        <v>1</v>
      </c>
      <c r="F131" s="27">
        <v>19200</v>
      </c>
      <c r="G131" s="33">
        <f t="shared" si="22"/>
        <v>19200</v>
      </c>
      <c r="H131" s="37">
        <v>0</v>
      </c>
      <c r="I131" s="33">
        <f t="shared" si="9"/>
        <v>0</v>
      </c>
      <c r="J131" s="33">
        <f t="shared" si="10"/>
        <v>19200</v>
      </c>
      <c r="K131" s="38">
        <v>18</v>
      </c>
      <c r="L131" s="40">
        <f t="shared" si="11"/>
        <v>3456</v>
      </c>
      <c r="M131" s="40">
        <f t="shared" si="12"/>
        <v>22656</v>
      </c>
    </row>
    <row r="132" spans="1:13" ht="24" customHeight="1" x14ac:dyDescent="0.3">
      <c r="A132" s="16">
        <v>120</v>
      </c>
      <c r="B132" s="16" t="s">
        <v>113</v>
      </c>
      <c r="C132" s="14" t="s">
        <v>31</v>
      </c>
      <c r="D132" s="14"/>
      <c r="E132" s="14">
        <v>1</v>
      </c>
      <c r="F132" s="28">
        <v>650</v>
      </c>
      <c r="G132" s="33">
        <f t="shared" si="22"/>
        <v>650</v>
      </c>
      <c r="H132" s="37">
        <v>0.4</v>
      </c>
      <c r="I132" s="33">
        <f t="shared" si="9"/>
        <v>260</v>
      </c>
      <c r="J132" s="33">
        <f t="shared" si="10"/>
        <v>390</v>
      </c>
      <c r="K132" s="47">
        <v>0.18</v>
      </c>
      <c r="L132" s="40">
        <f t="shared" si="11"/>
        <v>0.70200000000000007</v>
      </c>
      <c r="M132" s="40">
        <f t="shared" si="12"/>
        <v>390.702</v>
      </c>
    </row>
    <row r="133" spans="1:13" ht="24" customHeight="1" x14ac:dyDescent="0.3">
      <c r="A133" s="16">
        <v>121</v>
      </c>
      <c r="B133" s="16" t="s">
        <v>114</v>
      </c>
      <c r="C133" s="14" t="s">
        <v>31</v>
      </c>
      <c r="D133" s="14"/>
      <c r="E133" s="14">
        <v>1</v>
      </c>
      <c r="F133" s="28">
        <v>700</v>
      </c>
      <c r="G133" s="33">
        <f t="shared" si="22"/>
        <v>700</v>
      </c>
      <c r="H133" s="37">
        <v>0.4</v>
      </c>
      <c r="I133" s="33">
        <f t="shared" si="9"/>
        <v>280</v>
      </c>
      <c r="J133" s="33">
        <f t="shared" si="10"/>
        <v>420</v>
      </c>
      <c r="K133" s="47">
        <v>0.18</v>
      </c>
      <c r="L133" s="40">
        <f t="shared" si="11"/>
        <v>0.75599999999999989</v>
      </c>
      <c r="M133" s="40">
        <f t="shared" si="12"/>
        <v>420.75599999999997</v>
      </c>
    </row>
    <row r="134" spans="1:13" ht="24" customHeight="1" x14ac:dyDescent="0.3">
      <c r="A134" s="16">
        <v>122</v>
      </c>
      <c r="B134" s="16" t="s">
        <v>115</v>
      </c>
      <c r="C134" s="14" t="s">
        <v>31</v>
      </c>
      <c r="D134" s="14"/>
      <c r="E134" s="14">
        <v>1</v>
      </c>
      <c r="F134" s="28">
        <v>250</v>
      </c>
      <c r="G134" s="33">
        <f t="shared" si="22"/>
        <v>250</v>
      </c>
      <c r="H134" s="37">
        <v>0.4</v>
      </c>
      <c r="I134" s="33">
        <f t="shared" si="9"/>
        <v>100</v>
      </c>
      <c r="J134" s="33">
        <f t="shared" si="10"/>
        <v>150</v>
      </c>
      <c r="K134" s="47">
        <v>0.05</v>
      </c>
      <c r="L134" s="40">
        <f t="shared" si="11"/>
        <v>7.4999999999999997E-2</v>
      </c>
      <c r="M134" s="40">
        <f t="shared" si="12"/>
        <v>150.07499999999999</v>
      </c>
    </row>
    <row r="135" spans="1:13" ht="24" customHeight="1" x14ac:dyDescent="0.3">
      <c r="A135" s="16">
        <v>123</v>
      </c>
      <c r="B135" s="16" t="s">
        <v>116</v>
      </c>
      <c r="C135" s="14" t="s">
        <v>31</v>
      </c>
      <c r="D135" s="14"/>
      <c r="E135" s="14">
        <v>1</v>
      </c>
      <c r="F135" s="28">
        <v>300</v>
      </c>
      <c r="G135" s="33">
        <f t="shared" si="22"/>
        <v>300</v>
      </c>
      <c r="H135" s="37">
        <v>0.4</v>
      </c>
      <c r="I135" s="33">
        <f t="shared" si="9"/>
        <v>120</v>
      </c>
      <c r="J135" s="33">
        <f t="shared" si="10"/>
        <v>180</v>
      </c>
      <c r="K135" s="47">
        <v>0.18</v>
      </c>
      <c r="L135" s="40">
        <f t="shared" si="11"/>
        <v>0.32400000000000001</v>
      </c>
      <c r="M135" s="40">
        <f t="shared" si="12"/>
        <v>180.32400000000001</v>
      </c>
    </row>
    <row r="136" spans="1:13" ht="24" customHeight="1" x14ac:dyDescent="0.3">
      <c r="A136" s="16">
        <v>124</v>
      </c>
      <c r="B136" s="16" t="s">
        <v>117</v>
      </c>
      <c r="C136" s="14" t="s">
        <v>31</v>
      </c>
      <c r="D136" s="14"/>
      <c r="E136" s="14">
        <v>2</v>
      </c>
      <c r="F136" s="28">
        <v>850</v>
      </c>
      <c r="G136" s="33">
        <f t="shared" si="22"/>
        <v>1700</v>
      </c>
      <c r="H136" s="37">
        <v>0.4</v>
      </c>
      <c r="I136" s="33">
        <f t="shared" si="9"/>
        <v>680</v>
      </c>
      <c r="J136" s="33">
        <f t="shared" si="10"/>
        <v>1020</v>
      </c>
      <c r="K136" s="47">
        <v>0.18</v>
      </c>
      <c r="L136" s="40">
        <f t="shared" si="11"/>
        <v>1.8359999999999999</v>
      </c>
      <c r="M136" s="40">
        <f t="shared" si="12"/>
        <v>1021.836</v>
      </c>
    </row>
    <row r="137" spans="1:13" ht="24" customHeight="1" x14ac:dyDescent="0.3">
      <c r="A137" s="16">
        <v>125</v>
      </c>
      <c r="B137" s="16" t="s">
        <v>118</v>
      </c>
      <c r="C137" s="14" t="s">
        <v>38</v>
      </c>
      <c r="D137" s="14"/>
      <c r="E137" s="14">
        <v>1</v>
      </c>
      <c r="F137" s="28">
        <v>780</v>
      </c>
      <c r="G137" s="33">
        <f t="shared" si="22"/>
        <v>780</v>
      </c>
      <c r="H137" s="37">
        <v>0.25</v>
      </c>
      <c r="I137" s="33">
        <f t="shared" si="9"/>
        <v>195</v>
      </c>
      <c r="J137" s="33">
        <f t="shared" si="10"/>
        <v>585</v>
      </c>
      <c r="K137" s="47">
        <v>0.18</v>
      </c>
      <c r="L137" s="40">
        <f t="shared" si="11"/>
        <v>1.0529999999999999</v>
      </c>
      <c r="M137" s="40">
        <f t="shared" si="12"/>
        <v>586.053</v>
      </c>
    </row>
    <row r="138" spans="1:13" ht="24" customHeight="1" x14ac:dyDescent="0.3">
      <c r="A138" s="16">
        <v>126</v>
      </c>
      <c r="B138" s="16" t="s">
        <v>119</v>
      </c>
      <c r="C138" s="14" t="s">
        <v>31</v>
      </c>
      <c r="D138" s="14"/>
      <c r="E138" s="14">
        <v>1</v>
      </c>
      <c r="F138" s="28">
        <v>1040</v>
      </c>
      <c r="G138" s="33">
        <f t="shared" ref="G138" si="23">F138*E138</f>
        <v>1040</v>
      </c>
      <c r="H138" s="37">
        <v>0.4</v>
      </c>
      <c r="I138" s="33">
        <f t="shared" ref="I138" si="24">G138*H138</f>
        <v>416</v>
      </c>
      <c r="J138" s="33">
        <f t="shared" ref="J138" si="25">G138-I138</f>
        <v>624</v>
      </c>
      <c r="K138" s="47">
        <v>0.18</v>
      </c>
      <c r="L138" s="40">
        <f t="shared" ref="L138" si="26">(J138*K138/100)</f>
        <v>1.1232</v>
      </c>
      <c r="M138" s="40">
        <f t="shared" ref="M138" si="27">(J138+L138)</f>
        <v>625.1232</v>
      </c>
    </row>
    <row r="139" spans="1:13" ht="24" customHeight="1" x14ac:dyDescent="0.3">
      <c r="A139" s="16">
        <v>127</v>
      </c>
      <c r="B139" s="16" t="s">
        <v>120</v>
      </c>
      <c r="C139" s="14" t="s">
        <v>31</v>
      </c>
      <c r="D139" s="14"/>
      <c r="E139" s="14">
        <v>1</v>
      </c>
      <c r="F139" s="28">
        <v>3600</v>
      </c>
      <c r="G139" s="33">
        <f t="shared" ref="G139" si="28">F139*E139</f>
        <v>3600</v>
      </c>
      <c r="H139" s="37">
        <v>0.4</v>
      </c>
      <c r="I139" s="33">
        <f t="shared" ref="I139" si="29">G139*H139</f>
        <v>1440</v>
      </c>
      <c r="J139" s="33">
        <f t="shared" ref="J139" si="30">G139-I139</f>
        <v>2160</v>
      </c>
      <c r="K139" s="47">
        <v>0.18</v>
      </c>
      <c r="L139" s="40">
        <f t="shared" ref="L139" si="31">(J139*K139/100)</f>
        <v>3.8879999999999999</v>
      </c>
      <c r="M139" s="40">
        <f t="shared" ref="M139" si="32">(J139+L139)</f>
        <v>2163.8879999999999</v>
      </c>
    </row>
    <row r="140" spans="1:13" ht="24" customHeight="1" x14ac:dyDescent="0.3">
      <c r="A140" s="16">
        <v>128</v>
      </c>
      <c r="B140" s="16" t="s">
        <v>121</v>
      </c>
      <c r="C140" s="14" t="s">
        <v>38</v>
      </c>
      <c r="D140" s="14"/>
      <c r="E140" s="14">
        <v>1</v>
      </c>
      <c r="F140" s="28">
        <v>542</v>
      </c>
      <c r="G140" s="33">
        <f t="shared" si="22"/>
        <v>542</v>
      </c>
      <c r="H140" s="37">
        <v>0.25</v>
      </c>
      <c r="I140" s="33">
        <f t="shared" si="9"/>
        <v>135.5</v>
      </c>
      <c r="J140" s="33">
        <f t="shared" si="10"/>
        <v>406.5</v>
      </c>
      <c r="K140" s="47">
        <v>0.18</v>
      </c>
      <c r="L140" s="40">
        <f t="shared" si="11"/>
        <v>0.73170000000000002</v>
      </c>
      <c r="M140" s="40">
        <f t="shared" si="12"/>
        <v>407.23169999999999</v>
      </c>
    </row>
    <row r="141" spans="1:13" ht="26.25" customHeight="1" x14ac:dyDescent="0.3">
      <c r="A141" s="16">
        <v>129</v>
      </c>
      <c r="B141" s="16" t="s">
        <v>122</v>
      </c>
      <c r="C141" s="14" t="s">
        <v>28</v>
      </c>
      <c r="D141" s="14"/>
      <c r="E141" s="14">
        <v>3</v>
      </c>
      <c r="F141" s="28">
        <v>331</v>
      </c>
      <c r="G141" s="33">
        <f t="shared" si="22"/>
        <v>993</v>
      </c>
      <c r="H141" s="37">
        <v>0.4</v>
      </c>
      <c r="I141" s="33">
        <f t="shared" si="9"/>
        <v>397.20000000000005</v>
      </c>
      <c r="J141" s="33">
        <f t="shared" si="10"/>
        <v>595.79999999999995</v>
      </c>
      <c r="K141" s="47">
        <v>0.18</v>
      </c>
      <c r="L141" s="40">
        <f t="shared" si="11"/>
        <v>1.0724399999999998</v>
      </c>
      <c r="M141" s="40">
        <f t="shared" si="12"/>
        <v>596.87243999999998</v>
      </c>
    </row>
    <row r="142" spans="1:13" ht="26.25" customHeight="1" x14ac:dyDescent="0.3">
      <c r="A142" s="16">
        <v>130</v>
      </c>
      <c r="B142" s="17" t="s">
        <v>252</v>
      </c>
      <c r="C142" s="14" t="s">
        <v>28</v>
      </c>
      <c r="D142" s="14"/>
      <c r="E142" s="14">
        <v>8</v>
      </c>
      <c r="F142" s="28">
        <v>360</v>
      </c>
      <c r="G142" s="33">
        <f t="shared" si="22"/>
        <v>2880</v>
      </c>
      <c r="H142" s="37">
        <v>0.4</v>
      </c>
      <c r="I142" s="33">
        <f t="shared" si="9"/>
        <v>1152</v>
      </c>
      <c r="J142" s="33">
        <f t="shared" si="10"/>
        <v>1728</v>
      </c>
      <c r="K142" s="47">
        <v>0.18</v>
      </c>
      <c r="L142" s="40">
        <f t="shared" si="11"/>
        <v>3.1103999999999998</v>
      </c>
      <c r="M142" s="40">
        <f t="shared" si="12"/>
        <v>1731.1104</v>
      </c>
    </row>
    <row r="143" spans="1:13" ht="24" customHeight="1" x14ac:dyDescent="0.3">
      <c r="A143" s="16">
        <v>131</v>
      </c>
      <c r="B143" s="18" t="s">
        <v>123</v>
      </c>
      <c r="C143" s="14"/>
      <c r="D143" s="14"/>
      <c r="E143" s="14"/>
      <c r="F143" s="28"/>
      <c r="G143" s="33">
        <f t="shared" si="22"/>
        <v>0</v>
      </c>
      <c r="H143" s="37"/>
      <c r="I143" s="33">
        <f t="shared" si="9"/>
        <v>0</v>
      </c>
      <c r="J143" s="33">
        <f t="shared" si="10"/>
        <v>0</v>
      </c>
      <c r="K143" s="38"/>
      <c r="L143" s="40">
        <f t="shared" si="11"/>
        <v>0</v>
      </c>
      <c r="M143" s="40">
        <f t="shared" si="12"/>
        <v>0</v>
      </c>
    </row>
    <row r="144" spans="1:13" ht="24" customHeight="1" x14ac:dyDescent="0.3">
      <c r="A144" s="16">
        <v>132</v>
      </c>
      <c r="B144" s="16" t="s">
        <v>124</v>
      </c>
      <c r="C144" s="14" t="s">
        <v>30</v>
      </c>
      <c r="D144" s="14"/>
      <c r="E144" s="14">
        <v>2</v>
      </c>
      <c r="F144" s="28">
        <v>480</v>
      </c>
      <c r="G144" s="33">
        <f t="shared" si="22"/>
        <v>960</v>
      </c>
      <c r="H144" s="37">
        <v>0.25</v>
      </c>
      <c r="I144" s="33">
        <f t="shared" si="9"/>
        <v>240</v>
      </c>
      <c r="J144" s="33">
        <f t="shared" si="10"/>
        <v>720</v>
      </c>
      <c r="K144" s="47">
        <v>0.18</v>
      </c>
      <c r="L144" s="40">
        <f t="shared" si="11"/>
        <v>1.296</v>
      </c>
      <c r="M144" s="40">
        <f t="shared" si="12"/>
        <v>721.29600000000005</v>
      </c>
    </row>
    <row r="145" spans="1:13" ht="24" customHeight="1" x14ac:dyDescent="0.3">
      <c r="A145" s="16">
        <v>133</v>
      </c>
      <c r="B145" s="16" t="s">
        <v>35</v>
      </c>
      <c r="C145" s="14" t="s">
        <v>28</v>
      </c>
      <c r="D145" s="14"/>
      <c r="E145" s="14">
        <v>1</v>
      </c>
      <c r="F145" s="28">
        <v>299</v>
      </c>
      <c r="G145" s="33">
        <f t="shared" si="22"/>
        <v>299</v>
      </c>
      <c r="H145" s="37">
        <v>0.4</v>
      </c>
      <c r="I145" s="33">
        <f t="shared" si="9"/>
        <v>119.60000000000001</v>
      </c>
      <c r="J145" s="33">
        <f t="shared" si="10"/>
        <v>179.39999999999998</v>
      </c>
      <c r="K145" s="47">
        <v>0.18</v>
      </c>
      <c r="L145" s="40">
        <f t="shared" si="11"/>
        <v>0.32291999999999993</v>
      </c>
      <c r="M145" s="40">
        <f t="shared" si="12"/>
        <v>179.72291999999999</v>
      </c>
    </row>
    <row r="146" spans="1:13" ht="24" customHeight="1" x14ac:dyDescent="0.3">
      <c r="A146" s="16">
        <v>134</v>
      </c>
      <c r="B146" s="16" t="s">
        <v>35</v>
      </c>
      <c r="C146" s="14" t="s">
        <v>28</v>
      </c>
      <c r="D146" s="14"/>
      <c r="E146" s="14">
        <v>1</v>
      </c>
      <c r="F146" s="28">
        <v>299</v>
      </c>
      <c r="G146" s="33">
        <f t="shared" si="22"/>
        <v>299</v>
      </c>
      <c r="H146" s="37">
        <v>0.4</v>
      </c>
      <c r="I146" s="33">
        <f t="shared" si="9"/>
        <v>119.60000000000001</v>
      </c>
      <c r="J146" s="33">
        <f t="shared" si="10"/>
        <v>179.39999999999998</v>
      </c>
      <c r="K146" s="47">
        <v>0.18</v>
      </c>
      <c r="L146" s="40">
        <f t="shared" si="11"/>
        <v>0.32291999999999993</v>
      </c>
      <c r="M146" s="40">
        <f t="shared" si="12"/>
        <v>179.72291999999999</v>
      </c>
    </row>
    <row r="147" spans="1:13" ht="24" customHeight="1" x14ac:dyDescent="0.3">
      <c r="A147" s="16">
        <v>135</v>
      </c>
      <c r="B147" s="16" t="s">
        <v>125</v>
      </c>
      <c r="C147" s="14" t="s">
        <v>30</v>
      </c>
      <c r="D147" s="14"/>
      <c r="E147" s="14">
        <v>1</v>
      </c>
      <c r="F147" s="28">
        <v>460</v>
      </c>
      <c r="G147" s="33">
        <f t="shared" si="22"/>
        <v>460</v>
      </c>
      <c r="H147" s="37">
        <v>0.25</v>
      </c>
      <c r="I147" s="33">
        <f t="shared" si="9"/>
        <v>115</v>
      </c>
      <c r="J147" s="33">
        <f t="shared" si="10"/>
        <v>345</v>
      </c>
      <c r="K147" s="47">
        <v>0.18</v>
      </c>
      <c r="L147" s="40">
        <f t="shared" si="11"/>
        <v>0.621</v>
      </c>
      <c r="M147" s="40">
        <f t="shared" si="12"/>
        <v>345.62099999999998</v>
      </c>
    </row>
    <row r="148" spans="1:13" ht="18" customHeight="1" x14ac:dyDescent="0.3">
      <c r="A148" s="16">
        <v>136</v>
      </c>
      <c r="B148" s="16" t="s">
        <v>127</v>
      </c>
      <c r="C148" s="14" t="s">
        <v>30</v>
      </c>
      <c r="D148" s="14"/>
      <c r="E148" s="14">
        <v>1</v>
      </c>
      <c r="F148" s="28">
        <v>940</v>
      </c>
      <c r="G148" s="33">
        <f t="shared" si="22"/>
        <v>940</v>
      </c>
      <c r="H148" s="37">
        <v>0.25</v>
      </c>
      <c r="I148" s="33">
        <f t="shared" si="9"/>
        <v>235</v>
      </c>
      <c r="J148" s="33">
        <f t="shared" si="10"/>
        <v>705</v>
      </c>
      <c r="K148" s="47">
        <v>0.18</v>
      </c>
      <c r="L148" s="40">
        <f t="shared" si="11"/>
        <v>1.2689999999999999</v>
      </c>
      <c r="M148" s="40">
        <f t="shared" si="12"/>
        <v>706.26900000000001</v>
      </c>
    </row>
    <row r="149" spans="1:13" ht="29.25" customHeight="1" x14ac:dyDescent="0.3">
      <c r="A149" s="16">
        <v>137</v>
      </c>
      <c r="B149" s="25" t="s">
        <v>278</v>
      </c>
      <c r="C149" s="14" t="s">
        <v>38</v>
      </c>
      <c r="D149" s="14"/>
      <c r="E149" s="14">
        <v>1</v>
      </c>
      <c r="F149" s="28">
        <v>268</v>
      </c>
      <c r="G149" s="33">
        <f t="shared" si="22"/>
        <v>268</v>
      </c>
      <c r="H149" s="37">
        <v>0.25</v>
      </c>
      <c r="I149" s="33">
        <f t="shared" si="9"/>
        <v>67</v>
      </c>
      <c r="J149" s="33">
        <f t="shared" si="10"/>
        <v>201</v>
      </c>
      <c r="K149" s="47">
        <v>0.05</v>
      </c>
      <c r="L149" s="40">
        <f t="shared" si="11"/>
        <v>0.10050000000000001</v>
      </c>
      <c r="M149" s="40">
        <f t="shared" si="12"/>
        <v>201.10050000000001</v>
      </c>
    </row>
    <row r="150" spans="1:13" ht="24.75" customHeight="1" x14ac:dyDescent="0.3">
      <c r="A150" s="16">
        <v>138</v>
      </c>
      <c r="B150" s="17" t="s">
        <v>278</v>
      </c>
      <c r="C150" s="14" t="s">
        <v>38</v>
      </c>
      <c r="D150" s="14"/>
      <c r="E150" s="14">
        <v>1</v>
      </c>
      <c r="F150" s="28">
        <v>268</v>
      </c>
      <c r="G150" s="33">
        <f t="shared" si="22"/>
        <v>268</v>
      </c>
      <c r="H150" s="37">
        <v>0.25</v>
      </c>
      <c r="I150" s="33">
        <f t="shared" si="9"/>
        <v>67</v>
      </c>
      <c r="J150" s="33">
        <f t="shared" si="10"/>
        <v>201</v>
      </c>
      <c r="K150" s="47">
        <v>0.05</v>
      </c>
      <c r="L150" s="40">
        <f t="shared" si="11"/>
        <v>0.10050000000000001</v>
      </c>
      <c r="M150" s="40">
        <f t="shared" si="12"/>
        <v>201.10050000000001</v>
      </c>
    </row>
    <row r="151" spans="1:13" ht="24" customHeight="1" x14ac:dyDescent="0.3">
      <c r="A151" s="16">
        <v>139</v>
      </c>
      <c r="B151" s="16" t="s">
        <v>126</v>
      </c>
      <c r="C151" s="14" t="s">
        <v>227</v>
      </c>
      <c r="D151" s="14"/>
      <c r="E151" s="14">
        <v>1</v>
      </c>
      <c r="F151" s="28">
        <v>954</v>
      </c>
      <c r="G151" s="33">
        <f t="shared" si="22"/>
        <v>954</v>
      </c>
      <c r="H151" s="37">
        <v>0.4</v>
      </c>
      <c r="I151" s="33">
        <f t="shared" ref="I151:I232" si="33">G151*H151</f>
        <v>381.6</v>
      </c>
      <c r="J151" s="33">
        <f t="shared" ref="J151:J232" si="34">G151-I151</f>
        <v>572.4</v>
      </c>
      <c r="K151" s="47">
        <v>0.18</v>
      </c>
      <c r="L151" s="40">
        <f t="shared" ref="L151:L232" si="35">(J151*K151/100)</f>
        <v>1.0303199999999999</v>
      </c>
      <c r="M151" s="40">
        <f t="shared" ref="M151:M232" si="36">(J151+L151)</f>
        <v>573.43031999999994</v>
      </c>
    </row>
    <row r="152" spans="1:13" ht="24" customHeight="1" x14ac:dyDescent="0.3">
      <c r="A152" s="16">
        <v>140</v>
      </c>
      <c r="B152" s="16" t="s">
        <v>291</v>
      </c>
      <c r="C152" s="14" t="s">
        <v>290</v>
      </c>
      <c r="D152" s="14"/>
      <c r="E152" s="14">
        <v>1</v>
      </c>
      <c r="F152" s="27">
        <v>26000</v>
      </c>
      <c r="G152" s="33">
        <f t="shared" si="22"/>
        <v>26000</v>
      </c>
      <c r="H152" s="37">
        <v>0.4</v>
      </c>
      <c r="I152" s="33">
        <f t="shared" si="33"/>
        <v>10400</v>
      </c>
      <c r="J152" s="33">
        <f t="shared" si="34"/>
        <v>15600</v>
      </c>
      <c r="K152" s="47">
        <v>0.18</v>
      </c>
      <c r="L152" s="40">
        <f t="shared" si="35"/>
        <v>28.08</v>
      </c>
      <c r="M152" s="40">
        <f t="shared" si="36"/>
        <v>15628.08</v>
      </c>
    </row>
    <row r="153" spans="1:13" ht="24" customHeight="1" x14ac:dyDescent="0.3">
      <c r="A153" s="16">
        <v>141</v>
      </c>
      <c r="B153" s="16" t="s">
        <v>277</v>
      </c>
      <c r="C153" s="14" t="s">
        <v>30</v>
      </c>
      <c r="D153" s="14"/>
      <c r="E153" s="14">
        <v>1</v>
      </c>
      <c r="F153" s="28">
        <v>38000</v>
      </c>
      <c r="G153" s="33">
        <f t="shared" si="22"/>
        <v>38000</v>
      </c>
      <c r="H153" s="37">
        <v>0.25</v>
      </c>
      <c r="I153" s="33">
        <f t="shared" si="33"/>
        <v>9500</v>
      </c>
      <c r="J153" s="33">
        <f t="shared" si="34"/>
        <v>28500</v>
      </c>
      <c r="K153" s="47">
        <v>0.18</v>
      </c>
      <c r="L153" s="40">
        <f t="shared" si="35"/>
        <v>51.3</v>
      </c>
      <c r="M153" s="40">
        <f t="shared" si="36"/>
        <v>28551.3</v>
      </c>
    </row>
    <row r="154" spans="1:13" ht="24" customHeight="1" x14ac:dyDescent="0.3">
      <c r="A154" s="16">
        <v>142</v>
      </c>
      <c r="B154" s="16" t="s">
        <v>128</v>
      </c>
      <c r="C154" s="14" t="s">
        <v>227</v>
      </c>
      <c r="D154" s="14"/>
      <c r="E154" s="14">
        <v>6</v>
      </c>
      <c r="F154" s="28">
        <v>293</v>
      </c>
      <c r="G154" s="33">
        <f t="shared" si="22"/>
        <v>1758</v>
      </c>
      <c r="H154" s="37">
        <v>0.4</v>
      </c>
      <c r="I154" s="33">
        <f t="shared" si="33"/>
        <v>703.2</v>
      </c>
      <c r="J154" s="33">
        <f t="shared" si="34"/>
        <v>1054.8</v>
      </c>
      <c r="K154" s="47">
        <v>0.18</v>
      </c>
      <c r="L154" s="40">
        <f t="shared" si="35"/>
        <v>1.8986399999999997</v>
      </c>
      <c r="M154" s="40">
        <f t="shared" si="36"/>
        <v>1056.6986399999998</v>
      </c>
    </row>
    <row r="155" spans="1:13" ht="24" customHeight="1" x14ac:dyDescent="0.3">
      <c r="A155" s="16">
        <v>143</v>
      </c>
      <c r="B155" s="16" t="s">
        <v>128</v>
      </c>
      <c r="C155" s="14" t="s">
        <v>227</v>
      </c>
      <c r="D155" s="14"/>
      <c r="E155" s="14">
        <v>1</v>
      </c>
      <c r="F155" s="28">
        <v>293</v>
      </c>
      <c r="G155" s="33">
        <f t="shared" ref="G155" si="37">F155*E155</f>
        <v>293</v>
      </c>
      <c r="H155" s="37">
        <v>0.4</v>
      </c>
      <c r="I155" s="33">
        <f t="shared" ref="I155" si="38">G155*H155</f>
        <v>117.2</v>
      </c>
      <c r="J155" s="33">
        <f t="shared" ref="J155" si="39">G155-I155</f>
        <v>175.8</v>
      </c>
      <c r="K155" s="47">
        <v>0.18</v>
      </c>
      <c r="L155" s="40">
        <f t="shared" ref="L155" si="40">(J155*K155/100)</f>
        <v>0.31644</v>
      </c>
      <c r="M155" s="40">
        <f t="shared" ref="M155" si="41">(J155+L155)</f>
        <v>176.11644000000001</v>
      </c>
    </row>
    <row r="156" spans="1:13" ht="24" customHeight="1" x14ac:dyDescent="0.3">
      <c r="A156" s="16">
        <v>144</v>
      </c>
      <c r="B156" s="16" t="s">
        <v>129</v>
      </c>
      <c r="C156" s="14" t="s">
        <v>227</v>
      </c>
      <c r="D156" s="14"/>
      <c r="E156" s="14">
        <v>1</v>
      </c>
      <c r="F156" s="28">
        <v>293</v>
      </c>
      <c r="G156" s="33">
        <f t="shared" si="22"/>
        <v>293</v>
      </c>
      <c r="H156" s="37">
        <v>0.4</v>
      </c>
      <c r="I156" s="33">
        <f t="shared" si="33"/>
        <v>117.2</v>
      </c>
      <c r="J156" s="33">
        <f t="shared" si="34"/>
        <v>175.8</v>
      </c>
      <c r="K156" s="47">
        <v>0.18</v>
      </c>
      <c r="L156" s="40">
        <f t="shared" si="35"/>
        <v>0.31644</v>
      </c>
      <c r="M156" s="40">
        <f t="shared" si="36"/>
        <v>176.11644000000001</v>
      </c>
    </row>
    <row r="157" spans="1:13" ht="24" customHeight="1" x14ac:dyDescent="0.3">
      <c r="A157" s="16">
        <v>145</v>
      </c>
      <c r="B157" s="16" t="s">
        <v>130</v>
      </c>
      <c r="C157" s="14" t="s">
        <v>227</v>
      </c>
      <c r="D157" s="14"/>
      <c r="E157" s="14">
        <v>1</v>
      </c>
      <c r="F157" s="28">
        <v>531</v>
      </c>
      <c r="G157" s="33">
        <f t="shared" ref="G157:G237" si="42">F157*E157</f>
        <v>531</v>
      </c>
      <c r="H157" s="37">
        <v>0.4</v>
      </c>
      <c r="I157" s="33">
        <f t="shared" si="33"/>
        <v>212.4</v>
      </c>
      <c r="J157" s="33">
        <f t="shared" si="34"/>
        <v>318.60000000000002</v>
      </c>
      <c r="K157" s="47">
        <v>0.18</v>
      </c>
      <c r="L157" s="40">
        <f t="shared" si="35"/>
        <v>0.57347999999999999</v>
      </c>
      <c r="M157" s="40">
        <f t="shared" si="36"/>
        <v>319.17348000000004</v>
      </c>
    </row>
    <row r="158" spans="1:13" ht="24" customHeight="1" x14ac:dyDescent="0.3">
      <c r="A158" s="16">
        <v>146</v>
      </c>
      <c r="B158" s="16" t="s">
        <v>131</v>
      </c>
      <c r="C158" s="14" t="s">
        <v>227</v>
      </c>
      <c r="D158" s="14"/>
      <c r="E158" s="14">
        <v>1</v>
      </c>
      <c r="F158" s="28">
        <v>950</v>
      </c>
      <c r="G158" s="33">
        <f t="shared" si="42"/>
        <v>950</v>
      </c>
      <c r="H158" s="37">
        <v>0.4</v>
      </c>
      <c r="I158" s="33">
        <f t="shared" si="33"/>
        <v>380</v>
      </c>
      <c r="J158" s="33">
        <f t="shared" si="34"/>
        <v>570</v>
      </c>
      <c r="K158" s="47">
        <v>0.18</v>
      </c>
      <c r="L158" s="40">
        <f t="shared" si="35"/>
        <v>1.026</v>
      </c>
      <c r="M158" s="40">
        <f t="shared" si="36"/>
        <v>571.02599999999995</v>
      </c>
    </row>
    <row r="159" spans="1:13" ht="24" customHeight="1" x14ac:dyDescent="0.3">
      <c r="A159" s="16">
        <v>147</v>
      </c>
      <c r="B159" s="23" t="s">
        <v>244</v>
      </c>
      <c r="C159" s="14" t="s">
        <v>227</v>
      </c>
      <c r="D159" s="14"/>
      <c r="E159" s="14">
        <v>1</v>
      </c>
      <c r="F159" s="28">
        <v>22500</v>
      </c>
      <c r="G159" s="33">
        <f t="shared" si="42"/>
        <v>22500</v>
      </c>
      <c r="H159" s="37">
        <v>0.4</v>
      </c>
      <c r="I159" s="33">
        <f t="shared" si="33"/>
        <v>9000</v>
      </c>
      <c r="J159" s="33">
        <f t="shared" si="34"/>
        <v>13500</v>
      </c>
      <c r="K159" s="47">
        <v>0.18</v>
      </c>
      <c r="L159" s="40">
        <f t="shared" si="35"/>
        <v>24.3</v>
      </c>
      <c r="M159" s="40">
        <f t="shared" si="36"/>
        <v>13524.3</v>
      </c>
    </row>
    <row r="160" spans="1:13" ht="20.25" customHeight="1" x14ac:dyDescent="0.3">
      <c r="A160" s="16">
        <v>148</v>
      </c>
      <c r="B160" s="23" t="s">
        <v>245</v>
      </c>
      <c r="C160" s="14" t="s">
        <v>40</v>
      </c>
      <c r="D160" s="14"/>
      <c r="E160" s="14">
        <v>1</v>
      </c>
      <c r="F160" s="28">
        <v>780</v>
      </c>
      <c r="G160" s="33">
        <f t="shared" si="42"/>
        <v>780</v>
      </c>
      <c r="H160" s="37">
        <v>0.4</v>
      </c>
      <c r="I160" s="33">
        <f t="shared" si="33"/>
        <v>312</v>
      </c>
      <c r="J160" s="33">
        <f t="shared" si="34"/>
        <v>468</v>
      </c>
      <c r="K160" s="47">
        <v>0.18</v>
      </c>
      <c r="L160" s="40">
        <f t="shared" si="35"/>
        <v>0.84239999999999993</v>
      </c>
      <c r="M160" s="40">
        <f t="shared" si="36"/>
        <v>468.8424</v>
      </c>
    </row>
    <row r="161" spans="1:13" ht="27.75" customHeight="1" x14ac:dyDescent="0.3">
      <c r="A161" s="16">
        <v>149</v>
      </c>
      <c r="B161" s="17" t="s">
        <v>246</v>
      </c>
      <c r="C161" s="14" t="s">
        <v>30</v>
      </c>
      <c r="D161" s="14"/>
      <c r="E161" s="14">
        <v>1</v>
      </c>
      <c r="F161" s="28">
        <v>270</v>
      </c>
      <c r="G161" s="33">
        <f t="shared" si="42"/>
        <v>270</v>
      </c>
      <c r="H161" s="37">
        <v>0.25</v>
      </c>
      <c r="I161" s="33">
        <f t="shared" si="33"/>
        <v>67.5</v>
      </c>
      <c r="J161" s="33">
        <f t="shared" si="34"/>
        <v>202.5</v>
      </c>
      <c r="K161" s="47">
        <v>0.18</v>
      </c>
      <c r="L161" s="40">
        <f t="shared" si="35"/>
        <v>0.36449999999999994</v>
      </c>
      <c r="M161" s="40">
        <f t="shared" si="36"/>
        <v>202.86449999999999</v>
      </c>
    </row>
    <row r="162" spans="1:13" ht="24" customHeight="1" x14ac:dyDescent="0.3">
      <c r="A162" s="16">
        <v>150</v>
      </c>
      <c r="B162" s="23" t="s">
        <v>242</v>
      </c>
      <c r="C162" s="14" t="s">
        <v>227</v>
      </c>
      <c r="D162" s="14"/>
      <c r="E162" s="14">
        <v>1</v>
      </c>
      <c r="F162" s="28">
        <v>225</v>
      </c>
      <c r="G162" s="33">
        <f t="shared" si="42"/>
        <v>225</v>
      </c>
      <c r="H162" s="37">
        <v>0.4</v>
      </c>
      <c r="I162" s="33">
        <f t="shared" si="33"/>
        <v>90</v>
      </c>
      <c r="J162" s="33">
        <f t="shared" si="34"/>
        <v>135</v>
      </c>
      <c r="K162" s="47">
        <v>0.18</v>
      </c>
      <c r="L162" s="40">
        <f t="shared" si="35"/>
        <v>0.24299999999999999</v>
      </c>
      <c r="M162" s="40">
        <f t="shared" si="36"/>
        <v>135.24299999999999</v>
      </c>
    </row>
    <row r="163" spans="1:13" ht="24" customHeight="1" x14ac:dyDescent="0.3">
      <c r="A163" s="16">
        <v>151</v>
      </c>
      <c r="B163" s="16" t="s">
        <v>132</v>
      </c>
      <c r="C163" s="14" t="s">
        <v>30</v>
      </c>
      <c r="D163" s="14"/>
      <c r="E163" s="14">
        <v>1</v>
      </c>
      <c r="F163" s="28">
        <v>690</v>
      </c>
      <c r="G163" s="33">
        <f t="shared" si="42"/>
        <v>690</v>
      </c>
      <c r="H163" s="37">
        <v>0.25</v>
      </c>
      <c r="I163" s="33">
        <f t="shared" si="33"/>
        <v>172.5</v>
      </c>
      <c r="J163" s="33">
        <f t="shared" si="34"/>
        <v>517.5</v>
      </c>
      <c r="K163" s="47">
        <v>0.18</v>
      </c>
      <c r="L163" s="40">
        <f t="shared" si="35"/>
        <v>0.93149999999999988</v>
      </c>
      <c r="M163" s="40">
        <f t="shared" si="36"/>
        <v>518.43150000000003</v>
      </c>
    </row>
    <row r="164" spans="1:13" ht="32.25" customHeight="1" x14ac:dyDescent="0.3">
      <c r="A164" s="16">
        <v>152</v>
      </c>
      <c r="B164" s="16" t="s">
        <v>133</v>
      </c>
      <c r="C164" s="14" t="s">
        <v>31</v>
      </c>
      <c r="D164" s="14"/>
      <c r="E164" s="14">
        <v>1</v>
      </c>
      <c r="F164" s="28">
        <v>950</v>
      </c>
      <c r="G164" s="33">
        <f t="shared" si="42"/>
        <v>950</v>
      </c>
      <c r="H164" s="37">
        <v>0.4</v>
      </c>
      <c r="I164" s="33">
        <f t="shared" si="33"/>
        <v>380</v>
      </c>
      <c r="J164" s="33">
        <f t="shared" si="34"/>
        <v>570</v>
      </c>
      <c r="K164" s="47">
        <v>0.18</v>
      </c>
      <c r="L164" s="40">
        <f t="shared" si="35"/>
        <v>1.026</v>
      </c>
      <c r="M164" s="40">
        <f t="shared" si="36"/>
        <v>571.02599999999995</v>
      </c>
    </row>
    <row r="165" spans="1:13" ht="26.25" customHeight="1" x14ac:dyDescent="0.3">
      <c r="A165" s="16">
        <v>153</v>
      </c>
      <c r="B165" s="25" t="s">
        <v>276</v>
      </c>
      <c r="C165" s="14" t="s">
        <v>274</v>
      </c>
      <c r="D165" s="14"/>
      <c r="E165" s="14">
        <v>1</v>
      </c>
      <c r="F165" s="28">
        <v>11236</v>
      </c>
      <c r="G165" s="33">
        <f t="shared" si="42"/>
        <v>11236</v>
      </c>
      <c r="H165" s="37">
        <v>0</v>
      </c>
      <c r="I165" s="33">
        <f t="shared" si="33"/>
        <v>0</v>
      </c>
      <c r="J165" s="33">
        <f t="shared" si="34"/>
        <v>11236</v>
      </c>
      <c r="K165" s="47">
        <v>0.18</v>
      </c>
      <c r="L165" s="40">
        <f t="shared" si="35"/>
        <v>20.224800000000002</v>
      </c>
      <c r="M165" s="40">
        <f t="shared" si="36"/>
        <v>11256.2248</v>
      </c>
    </row>
    <row r="166" spans="1:13" ht="19.5" customHeight="1" x14ac:dyDescent="0.3">
      <c r="A166" s="16">
        <v>154</v>
      </c>
      <c r="B166" s="17" t="s">
        <v>283</v>
      </c>
      <c r="C166" s="14" t="s">
        <v>38</v>
      </c>
      <c r="D166" s="14"/>
      <c r="E166" s="14">
        <v>1</v>
      </c>
      <c r="F166" s="28">
        <v>2187</v>
      </c>
      <c r="G166" s="33">
        <f t="shared" si="42"/>
        <v>2187</v>
      </c>
      <c r="H166" s="37">
        <v>0.25</v>
      </c>
      <c r="I166" s="33">
        <f t="shared" si="33"/>
        <v>546.75</v>
      </c>
      <c r="J166" s="33">
        <f t="shared" si="34"/>
        <v>1640.25</v>
      </c>
      <c r="K166" s="47">
        <v>0.18</v>
      </c>
      <c r="L166" s="40">
        <f t="shared" si="35"/>
        <v>2.9524500000000002</v>
      </c>
      <c r="M166" s="40">
        <f t="shared" si="36"/>
        <v>1643.20245</v>
      </c>
    </row>
    <row r="167" spans="1:13" ht="23.4" customHeight="1" x14ac:dyDescent="0.3">
      <c r="A167" s="16">
        <v>155</v>
      </c>
      <c r="B167" s="18" t="s">
        <v>139</v>
      </c>
      <c r="C167" s="14"/>
      <c r="D167" s="14"/>
      <c r="E167" s="14"/>
      <c r="F167" s="28"/>
      <c r="G167" s="33">
        <f t="shared" si="42"/>
        <v>0</v>
      </c>
      <c r="H167" s="37">
        <v>0</v>
      </c>
      <c r="I167" s="33">
        <f t="shared" si="33"/>
        <v>0</v>
      </c>
      <c r="J167" s="33">
        <f t="shared" si="34"/>
        <v>0</v>
      </c>
      <c r="K167" s="38"/>
      <c r="L167" s="40">
        <f t="shared" si="35"/>
        <v>0</v>
      </c>
      <c r="M167" s="40">
        <f t="shared" si="36"/>
        <v>0</v>
      </c>
    </row>
    <row r="168" spans="1:13" ht="23.4" customHeight="1" x14ac:dyDescent="0.3">
      <c r="A168" s="16">
        <v>156</v>
      </c>
      <c r="B168" s="16" t="s">
        <v>134</v>
      </c>
      <c r="C168" s="14" t="s">
        <v>30</v>
      </c>
      <c r="D168" s="14"/>
      <c r="E168" s="14">
        <v>3</v>
      </c>
      <c r="F168" s="28">
        <v>3890</v>
      </c>
      <c r="G168" s="33">
        <f t="shared" si="42"/>
        <v>11670</v>
      </c>
      <c r="H168" s="37">
        <v>0.25</v>
      </c>
      <c r="I168" s="33">
        <f t="shared" si="33"/>
        <v>2917.5</v>
      </c>
      <c r="J168" s="33">
        <f t="shared" si="34"/>
        <v>8752.5</v>
      </c>
      <c r="K168" s="47">
        <v>0.18</v>
      </c>
      <c r="L168" s="40">
        <f t="shared" si="35"/>
        <v>15.7545</v>
      </c>
      <c r="M168" s="40">
        <f t="shared" si="36"/>
        <v>8768.2544999999991</v>
      </c>
    </row>
    <row r="169" spans="1:13" ht="23.4" customHeight="1" x14ac:dyDescent="0.3">
      <c r="A169" s="16">
        <v>157</v>
      </c>
      <c r="B169" s="16" t="s">
        <v>135</v>
      </c>
      <c r="C169" s="14" t="s">
        <v>40</v>
      </c>
      <c r="D169" s="14"/>
      <c r="E169" s="14">
        <v>1</v>
      </c>
      <c r="F169" s="28">
        <v>2362</v>
      </c>
      <c r="G169" s="33">
        <f t="shared" si="42"/>
        <v>2362</v>
      </c>
      <c r="H169" s="37">
        <v>0.4</v>
      </c>
      <c r="I169" s="33">
        <f t="shared" si="33"/>
        <v>944.80000000000007</v>
      </c>
      <c r="J169" s="33">
        <f t="shared" si="34"/>
        <v>1417.1999999999998</v>
      </c>
      <c r="K169" s="47">
        <v>0.18</v>
      </c>
      <c r="L169" s="40">
        <f t="shared" si="35"/>
        <v>2.5509599999999995</v>
      </c>
      <c r="M169" s="40">
        <f t="shared" si="36"/>
        <v>1419.7509599999998</v>
      </c>
    </row>
    <row r="170" spans="1:13" ht="24" customHeight="1" x14ac:dyDescent="0.3">
      <c r="A170" s="16">
        <v>158</v>
      </c>
      <c r="B170" s="16" t="s">
        <v>136</v>
      </c>
      <c r="C170" s="14" t="s">
        <v>31</v>
      </c>
      <c r="D170" s="14"/>
      <c r="E170" s="14">
        <v>1</v>
      </c>
      <c r="F170" s="28">
        <v>1700</v>
      </c>
      <c r="G170" s="33">
        <f t="shared" si="42"/>
        <v>1700</v>
      </c>
      <c r="H170" s="37">
        <v>0.4</v>
      </c>
      <c r="I170" s="33">
        <f t="shared" si="33"/>
        <v>680</v>
      </c>
      <c r="J170" s="33">
        <f t="shared" si="34"/>
        <v>1020</v>
      </c>
      <c r="K170" s="47">
        <v>0.18</v>
      </c>
      <c r="L170" s="40">
        <f t="shared" si="35"/>
        <v>1.8359999999999999</v>
      </c>
      <c r="M170" s="40">
        <f t="shared" si="36"/>
        <v>1021.836</v>
      </c>
    </row>
    <row r="171" spans="1:13" ht="24" customHeight="1" x14ac:dyDescent="0.3">
      <c r="A171" s="16">
        <v>159</v>
      </c>
      <c r="B171" s="16" t="s">
        <v>137</v>
      </c>
      <c r="C171" s="14" t="s">
        <v>31</v>
      </c>
      <c r="D171" s="14"/>
      <c r="E171" s="14">
        <v>1</v>
      </c>
      <c r="F171" s="28">
        <v>1800</v>
      </c>
      <c r="G171" s="33">
        <f t="shared" si="42"/>
        <v>1800</v>
      </c>
      <c r="H171" s="37">
        <v>0.4</v>
      </c>
      <c r="I171" s="33">
        <f t="shared" si="33"/>
        <v>720</v>
      </c>
      <c r="J171" s="33">
        <f t="shared" si="34"/>
        <v>1080</v>
      </c>
      <c r="K171" s="47">
        <v>0.18</v>
      </c>
      <c r="L171" s="40">
        <f t="shared" si="35"/>
        <v>1.944</v>
      </c>
      <c r="M171" s="40">
        <f t="shared" si="36"/>
        <v>1081.944</v>
      </c>
    </row>
    <row r="172" spans="1:13" ht="24" customHeight="1" x14ac:dyDescent="0.3">
      <c r="A172" s="16">
        <v>160</v>
      </c>
      <c r="B172" s="16" t="s">
        <v>148</v>
      </c>
      <c r="C172" s="14" t="s">
        <v>227</v>
      </c>
      <c r="D172" s="14"/>
      <c r="E172" s="14">
        <v>1</v>
      </c>
      <c r="F172" s="28">
        <v>2403</v>
      </c>
      <c r="G172" s="33">
        <f t="shared" si="42"/>
        <v>2403</v>
      </c>
      <c r="H172" s="37">
        <v>0.4</v>
      </c>
      <c r="I172" s="33">
        <f t="shared" si="33"/>
        <v>961.2</v>
      </c>
      <c r="J172" s="33">
        <f t="shared" si="34"/>
        <v>1441.8</v>
      </c>
      <c r="K172" s="47">
        <v>0.18</v>
      </c>
      <c r="L172" s="40">
        <f t="shared" si="35"/>
        <v>2.59524</v>
      </c>
      <c r="M172" s="40">
        <f t="shared" si="36"/>
        <v>1444.3952400000001</v>
      </c>
    </row>
    <row r="173" spans="1:13" ht="24" customHeight="1" x14ac:dyDescent="0.3">
      <c r="A173" s="16">
        <v>161</v>
      </c>
      <c r="B173" s="16" t="s">
        <v>138</v>
      </c>
      <c r="C173" s="14" t="s">
        <v>30</v>
      </c>
      <c r="D173" s="14"/>
      <c r="E173" s="14">
        <v>1</v>
      </c>
      <c r="F173" s="28">
        <v>520</v>
      </c>
      <c r="G173" s="33">
        <f t="shared" si="42"/>
        <v>520</v>
      </c>
      <c r="H173" s="37">
        <v>0.25</v>
      </c>
      <c r="I173" s="33">
        <f t="shared" si="33"/>
        <v>130</v>
      </c>
      <c r="J173" s="33">
        <f t="shared" si="34"/>
        <v>390</v>
      </c>
      <c r="K173" s="47">
        <v>0.18</v>
      </c>
      <c r="L173" s="40">
        <f t="shared" si="35"/>
        <v>0.70200000000000007</v>
      </c>
      <c r="M173" s="40">
        <f t="shared" si="36"/>
        <v>390.702</v>
      </c>
    </row>
    <row r="174" spans="1:13" ht="24" customHeight="1" x14ac:dyDescent="0.3">
      <c r="A174" s="16">
        <v>162</v>
      </c>
      <c r="B174" s="16" t="s">
        <v>122</v>
      </c>
      <c r="C174" s="14" t="s">
        <v>40</v>
      </c>
      <c r="D174" s="14"/>
      <c r="E174" s="14">
        <v>2</v>
      </c>
      <c r="F174" s="28">
        <v>331</v>
      </c>
      <c r="G174" s="33">
        <f t="shared" si="42"/>
        <v>662</v>
      </c>
      <c r="H174" s="37">
        <v>0.4</v>
      </c>
      <c r="I174" s="33">
        <f t="shared" si="33"/>
        <v>264.8</v>
      </c>
      <c r="J174" s="33">
        <f t="shared" si="34"/>
        <v>397.2</v>
      </c>
      <c r="K174" s="47">
        <v>0.18</v>
      </c>
      <c r="L174" s="40">
        <f t="shared" si="35"/>
        <v>0.71495999999999993</v>
      </c>
      <c r="M174" s="40">
        <f t="shared" si="36"/>
        <v>397.91496000000001</v>
      </c>
    </row>
    <row r="175" spans="1:13" ht="24" customHeight="1" x14ac:dyDescent="0.3">
      <c r="A175" s="16">
        <v>163</v>
      </c>
      <c r="B175" s="55" t="s">
        <v>275</v>
      </c>
      <c r="C175" s="14" t="s">
        <v>32</v>
      </c>
      <c r="D175" s="14"/>
      <c r="E175" s="14">
        <v>1</v>
      </c>
      <c r="F175" s="28">
        <v>1025</v>
      </c>
      <c r="G175" s="33">
        <f t="shared" si="42"/>
        <v>1025</v>
      </c>
      <c r="H175" s="37">
        <v>0.2</v>
      </c>
      <c r="I175" s="33">
        <f t="shared" si="33"/>
        <v>205</v>
      </c>
      <c r="J175" s="33">
        <f t="shared" si="34"/>
        <v>820</v>
      </c>
      <c r="K175" s="47">
        <v>0.18</v>
      </c>
      <c r="L175" s="40">
        <f t="shared" si="35"/>
        <v>1.476</v>
      </c>
      <c r="M175" s="40">
        <f t="shared" si="36"/>
        <v>821.476</v>
      </c>
    </row>
    <row r="176" spans="1:13" ht="24" customHeight="1" x14ac:dyDescent="0.3">
      <c r="A176" s="16">
        <v>164</v>
      </c>
      <c r="B176" s="18" t="s">
        <v>149</v>
      </c>
      <c r="C176" s="14"/>
      <c r="D176" s="14"/>
      <c r="E176" s="14"/>
      <c r="F176" s="28"/>
      <c r="G176" s="33">
        <f t="shared" si="42"/>
        <v>0</v>
      </c>
      <c r="H176" s="37"/>
      <c r="I176" s="33">
        <f t="shared" si="33"/>
        <v>0</v>
      </c>
      <c r="J176" s="33">
        <f t="shared" si="34"/>
        <v>0</v>
      </c>
      <c r="K176" s="38"/>
      <c r="L176" s="40">
        <f t="shared" si="35"/>
        <v>0</v>
      </c>
      <c r="M176" s="40">
        <f t="shared" si="36"/>
        <v>0</v>
      </c>
    </row>
    <row r="177" spans="1:13" ht="24" customHeight="1" x14ac:dyDescent="0.3">
      <c r="A177" s="16">
        <v>165</v>
      </c>
      <c r="B177" s="16" t="s">
        <v>150</v>
      </c>
      <c r="C177" s="14" t="s">
        <v>31</v>
      </c>
      <c r="D177" s="14"/>
      <c r="E177" s="14">
        <v>1</v>
      </c>
      <c r="F177" s="28">
        <v>600</v>
      </c>
      <c r="G177" s="33">
        <f t="shared" si="42"/>
        <v>600</v>
      </c>
      <c r="H177" s="37">
        <v>0.4</v>
      </c>
      <c r="I177" s="33">
        <f t="shared" si="33"/>
        <v>240</v>
      </c>
      <c r="J177" s="33">
        <f t="shared" si="34"/>
        <v>360</v>
      </c>
      <c r="K177" s="47">
        <v>0.18</v>
      </c>
      <c r="L177" s="40">
        <f t="shared" si="35"/>
        <v>0.64800000000000002</v>
      </c>
      <c r="M177" s="40">
        <f t="shared" si="36"/>
        <v>360.64800000000002</v>
      </c>
    </row>
    <row r="178" spans="1:13" ht="24" customHeight="1" x14ac:dyDescent="0.3">
      <c r="A178" s="16">
        <v>166</v>
      </c>
      <c r="B178" s="16" t="s">
        <v>151</v>
      </c>
      <c r="C178" s="14" t="s">
        <v>40</v>
      </c>
      <c r="D178" s="14"/>
      <c r="E178" s="14">
        <v>2</v>
      </c>
      <c r="F178" s="28">
        <v>428</v>
      </c>
      <c r="G178" s="33">
        <f t="shared" si="42"/>
        <v>856</v>
      </c>
      <c r="H178" s="37">
        <v>0.4</v>
      </c>
      <c r="I178" s="33">
        <f t="shared" si="33"/>
        <v>342.40000000000003</v>
      </c>
      <c r="J178" s="33">
        <f t="shared" si="34"/>
        <v>513.59999999999991</v>
      </c>
      <c r="K178" s="47">
        <v>0.05</v>
      </c>
      <c r="L178" s="40">
        <f t="shared" si="35"/>
        <v>0.25679999999999997</v>
      </c>
      <c r="M178" s="40">
        <f t="shared" si="36"/>
        <v>513.85679999999991</v>
      </c>
    </row>
    <row r="179" spans="1:13" ht="24" customHeight="1" x14ac:dyDescent="0.3">
      <c r="A179" s="16">
        <v>167</v>
      </c>
      <c r="B179" s="16" t="s">
        <v>152</v>
      </c>
      <c r="C179" s="14" t="s">
        <v>30</v>
      </c>
      <c r="D179" s="14"/>
      <c r="E179" s="14">
        <v>1</v>
      </c>
      <c r="F179" s="28">
        <v>600</v>
      </c>
      <c r="G179" s="33">
        <f t="shared" si="42"/>
        <v>600</v>
      </c>
      <c r="H179" s="37">
        <v>0.25</v>
      </c>
      <c r="I179" s="33">
        <f t="shared" si="33"/>
        <v>150</v>
      </c>
      <c r="J179" s="33">
        <f t="shared" si="34"/>
        <v>450</v>
      </c>
      <c r="K179" s="47">
        <v>0.18</v>
      </c>
      <c r="L179" s="40">
        <f t="shared" si="35"/>
        <v>0.81</v>
      </c>
      <c r="M179" s="40">
        <f t="shared" si="36"/>
        <v>450.81</v>
      </c>
    </row>
    <row r="180" spans="1:13" ht="24" customHeight="1" x14ac:dyDescent="0.3">
      <c r="A180" s="16">
        <v>168</v>
      </c>
      <c r="B180" s="16" t="s">
        <v>152</v>
      </c>
      <c r="C180" s="14" t="s">
        <v>30</v>
      </c>
      <c r="D180" s="14"/>
      <c r="E180" s="14">
        <v>1</v>
      </c>
      <c r="F180" s="28">
        <v>600</v>
      </c>
      <c r="G180" s="33">
        <f t="shared" si="42"/>
        <v>600</v>
      </c>
      <c r="H180" s="37">
        <v>0.25</v>
      </c>
      <c r="I180" s="33">
        <f t="shared" si="33"/>
        <v>150</v>
      </c>
      <c r="J180" s="33">
        <f t="shared" si="34"/>
        <v>450</v>
      </c>
      <c r="K180" s="47">
        <v>0.18</v>
      </c>
      <c r="L180" s="40">
        <f t="shared" si="35"/>
        <v>0.81</v>
      </c>
      <c r="M180" s="40">
        <f t="shared" si="36"/>
        <v>450.81</v>
      </c>
    </row>
    <row r="181" spans="1:13" ht="24" customHeight="1" x14ac:dyDescent="0.3">
      <c r="A181" s="16">
        <v>169</v>
      </c>
      <c r="B181" s="16" t="s">
        <v>153</v>
      </c>
      <c r="C181" s="14" t="s">
        <v>40</v>
      </c>
      <c r="D181" s="14"/>
      <c r="E181" s="14">
        <v>1</v>
      </c>
      <c r="F181" s="28">
        <v>892</v>
      </c>
      <c r="G181" s="33">
        <f t="shared" si="42"/>
        <v>892</v>
      </c>
      <c r="H181" s="37">
        <v>0.4</v>
      </c>
      <c r="I181" s="33">
        <f t="shared" si="33"/>
        <v>356.8</v>
      </c>
      <c r="J181" s="33">
        <f t="shared" si="34"/>
        <v>535.20000000000005</v>
      </c>
      <c r="K181" s="47">
        <v>0.18</v>
      </c>
      <c r="L181" s="40">
        <f t="shared" si="35"/>
        <v>0.96335999999999999</v>
      </c>
      <c r="M181" s="40">
        <f t="shared" si="36"/>
        <v>536.16336000000001</v>
      </c>
    </row>
    <row r="182" spans="1:13" ht="24" customHeight="1" x14ac:dyDescent="0.3">
      <c r="A182" s="16">
        <v>170</v>
      </c>
      <c r="B182" s="16" t="s">
        <v>154</v>
      </c>
      <c r="C182" s="14" t="s">
        <v>227</v>
      </c>
      <c r="D182" s="14"/>
      <c r="E182" s="14">
        <v>1</v>
      </c>
      <c r="F182" s="27">
        <v>16250</v>
      </c>
      <c r="G182" s="33">
        <f t="shared" si="42"/>
        <v>16250</v>
      </c>
      <c r="H182" s="37">
        <v>0.4</v>
      </c>
      <c r="I182" s="33">
        <f t="shared" si="33"/>
        <v>6500</v>
      </c>
      <c r="J182" s="33">
        <f t="shared" si="34"/>
        <v>9750</v>
      </c>
      <c r="K182" s="47">
        <v>0.18</v>
      </c>
      <c r="L182" s="40">
        <f t="shared" si="35"/>
        <v>17.55</v>
      </c>
      <c r="M182" s="40">
        <f t="shared" si="36"/>
        <v>9767.5499999999993</v>
      </c>
    </row>
    <row r="183" spans="1:13" ht="24" customHeight="1" x14ac:dyDescent="0.3">
      <c r="A183" s="16">
        <v>171</v>
      </c>
      <c r="B183" s="16" t="s">
        <v>155</v>
      </c>
      <c r="C183" s="14" t="s">
        <v>227</v>
      </c>
      <c r="D183" s="14"/>
      <c r="E183" s="14">
        <v>1</v>
      </c>
      <c r="F183" s="28">
        <v>405</v>
      </c>
      <c r="G183" s="33">
        <f t="shared" si="42"/>
        <v>405</v>
      </c>
      <c r="H183" s="37">
        <v>0.4</v>
      </c>
      <c r="I183" s="33">
        <f t="shared" si="33"/>
        <v>162</v>
      </c>
      <c r="J183" s="33">
        <f t="shared" si="34"/>
        <v>243</v>
      </c>
      <c r="K183" s="47">
        <v>0.18</v>
      </c>
      <c r="L183" s="40">
        <f t="shared" si="35"/>
        <v>0.43739999999999996</v>
      </c>
      <c r="M183" s="40">
        <f t="shared" si="36"/>
        <v>243.4374</v>
      </c>
    </row>
    <row r="184" spans="1:13" ht="24" customHeight="1" x14ac:dyDescent="0.3">
      <c r="A184" s="16">
        <v>172</v>
      </c>
      <c r="B184" s="18" t="s">
        <v>156</v>
      </c>
      <c r="C184" s="14"/>
      <c r="D184" s="14"/>
      <c r="E184" s="14"/>
      <c r="F184" s="28"/>
      <c r="G184" s="33">
        <f t="shared" si="42"/>
        <v>0</v>
      </c>
      <c r="H184" s="37"/>
      <c r="I184" s="33">
        <f t="shared" si="33"/>
        <v>0</v>
      </c>
      <c r="J184" s="33">
        <f t="shared" si="34"/>
        <v>0</v>
      </c>
      <c r="K184" s="38"/>
      <c r="L184" s="40">
        <f t="shared" si="35"/>
        <v>0</v>
      </c>
      <c r="M184" s="40">
        <f t="shared" si="36"/>
        <v>0</v>
      </c>
    </row>
    <row r="185" spans="1:13" ht="24" customHeight="1" x14ac:dyDescent="0.3">
      <c r="A185" s="16">
        <v>173</v>
      </c>
      <c r="B185" s="16" t="s">
        <v>157</v>
      </c>
      <c r="C185" s="14" t="s">
        <v>227</v>
      </c>
      <c r="D185" s="14"/>
      <c r="E185" s="14">
        <v>2</v>
      </c>
      <c r="F185" s="28">
        <v>1107</v>
      </c>
      <c r="G185" s="33">
        <f t="shared" si="42"/>
        <v>2214</v>
      </c>
      <c r="H185" s="37">
        <v>0.4</v>
      </c>
      <c r="I185" s="33">
        <f t="shared" si="33"/>
        <v>885.6</v>
      </c>
      <c r="J185" s="33">
        <f t="shared" si="34"/>
        <v>1328.4</v>
      </c>
      <c r="K185" s="47">
        <v>0.18</v>
      </c>
      <c r="L185" s="40">
        <f t="shared" si="35"/>
        <v>2.3911199999999999</v>
      </c>
      <c r="M185" s="40">
        <f t="shared" si="36"/>
        <v>1330.7911200000001</v>
      </c>
    </row>
    <row r="186" spans="1:13" ht="24" customHeight="1" x14ac:dyDescent="0.3">
      <c r="A186" s="16">
        <v>174</v>
      </c>
      <c r="B186" s="16" t="s">
        <v>158</v>
      </c>
      <c r="C186" s="14" t="s">
        <v>227</v>
      </c>
      <c r="D186" s="14"/>
      <c r="E186" s="14">
        <v>2</v>
      </c>
      <c r="F186" s="28">
        <v>1440</v>
      </c>
      <c r="G186" s="33">
        <f t="shared" si="42"/>
        <v>2880</v>
      </c>
      <c r="H186" s="37">
        <v>0.4</v>
      </c>
      <c r="I186" s="33">
        <f t="shared" si="33"/>
        <v>1152</v>
      </c>
      <c r="J186" s="33">
        <f t="shared" si="34"/>
        <v>1728</v>
      </c>
      <c r="K186" s="47">
        <v>0.18</v>
      </c>
      <c r="L186" s="40">
        <f t="shared" si="35"/>
        <v>3.1103999999999998</v>
      </c>
      <c r="M186" s="40">
        <f t="shared" si="36"/>
        <v>1731.1104</v>
      </c>
    </row>
    <row r="187" spans="1:13" ht="24" customHeight="1" x14ac:dyDescent="0.3">
      <c r="A187" s="16">
        <v>175</v>
      </c>
      <c r="B187" s="16" t="s">
        <v>273</v>
      </c>
      <c r="C187" s="14" t="s">
        <v>274</v>
      </c>
      <c r="D187" s="14"/>
      <c r="E187" s="14">
        <v>2</v>
      </c>
      <c r="F187" s="28">
        <v>17760</v>
      </c>
      <c r="G187" s="33">
        <f t="shared" si="42"/>
        <v>35520</v>
      </c>
      <c r="H187" s="37"/>
      <c r="I187" s="33">
        <f t="shared" si="33"/>
        <v>0</v>
      </c>
      <c r="J187" s="33">
        <f t="shared" si="34"/>
        <v>35520</v>
      </c>
      <c r="K187" s="38"/>
      <c r="L187" s="40">
        <f t="shared" si="35"/>
        <v>0</v>
      </c>
      <c r="M187" s="40">
        <f t="shared" si="36"/>
        <v>35520</v>
      </c>
    </row>
    <row r="188" spans="1:13" ht="24" customHeight="1" x14ac:dyDescent="0.3">
      <c r="A188" s="16">
        <v>176</v>
      </c>
      <c r="B188" s="16" t="s">
        <v>159</v>
      </c>
      <c r="C188" s="14" t="s">
        <v>40</v>
      </c>
      <c r="D188" s="14"/>
      <c r="E188" s="14">
        <v>1</v>
      </c>
      <c r="F188" s="28">
        <v>1002</v>
      </c>
      <c r="G188" s="33">
        <f t="shared" si="42"/>
        <v>1002</v>
      </c>
      <c r="H188" s="37">
        <v>0.4</v>
      </c>
      <c r="I188" s="33">
        <f t="shared" si="33"/>
        <v>400.8</v>
      </c>
      <c r="J188" s="33">
        <f t="shared" si="34"/>
        <v>601.20000000000005</v>
      </c>
      <c r="K188" s="47">
        <v>0.18</v>
      </c>
      <c r="L188" s="40">
        <f t="shared" si="35"/>
        <v>1.08216</v>
      </c>
      <c r="M188" s="40">
        <f t="shared" si="36"/>
        <v>602.28216000000009</v>
      </c>
    </row>
    <row r="189" spans="1:13" ht="24" customHeight="1" x14ac:dyDescent="0.3">
      <c r="A189" s="16">
        <v>177</v>
      </c>
      <c r="B189" s="16" t="s">
        <v>160</v>
      </c>
      <c r="C189" s="14" t="s">
        <v>227</v>
      </c>
      <c r="D189" s="14"/>
      <c r="E189" s="14">
        <v>1</v>
      </c>
      <c r="F189" s="28">
        <v>603</v>
      </c>
      <c r="G189" s="33">
        <f t="shared" si="42"/>
        <v>603</v>
      </c>
      <c r="H189" s="37">
        <v>0.4</v>
      </c>
      <c r="I189" s="33">
        <f t="shared" si="33"/>
        <v>241.20000000000002</v>
      </c>
      <c r="J189" s="33">
        <f t="shared" si="34"/>
        <v>361.79999999999995</v>
      </c>
      <c r="K189" s="47">
        <v>0.18</v>
      </c>
      <c r="L189" s="40">
        <f t="shared" si="35"/>
        <v>0.65123999999999993</v>
      </c>
      <c r="M189" s="40">
        <f t="shared" si="36"/>
        <v>362.45123999999993</v>
      </c>
    </row>
    <row r="190" spans="1:13" ht="24" customHeight="1" x14ac:dyDescent="0.3">
      <c r="A190" s="16">
        <v>178</v>
      </c>
      <c r="B190" s="16" t="s">
        <v>161</v>
      </c>
      <c r="C190" s="14" t="s">
        <v>227</v>
      </c>
      <c r="D190" s="14"/>
      <c r="E190" s="14">
        <v>1</v>
      </c>
      <c r="F190" s="28">
        <v>873</v>
      </c>
      <c r="G190" s="33">
        <f t="shared" si="42"/>
        <v>873</v>
      </c>
      <c r="H190" s="37">
        <v>0.4</v>
      </c>
      <c r="I190" s="33">
        <f t="shared" si="33"/>
        <v>349.20000000000005</v>
      </c>
      <c r="J190" s="33">
        <f t="shared" si="34"/>
        <v>523.79999999999995</v>
      </c>
      <c r="K190" s="47">
        <v>0.18</v>
      </c>
      <c r="L190" s="40">
        <f t="shared" si="35"/>
        <v>0.9428399999999999</v>
      </c>
      <c r="M190" s="40">
        <f t="shared" si="36"/>
        <v>524.74284</v>
      </c>
    </row>
    <row r="191" spans="1:13" ht="24" customHeight="1" x14ac:dyDescent="0.3">
      <c r="A191" s="16">
        <v>179</v>
      </c>
      <c r="B191" s="16" t="s">
        <v>162</v>
      </c>
      <c r="C191" s="14" t="s">
        <v>227</v>
      </c>
      <c r="D191" s="14"/>
      <c r="E191" s="14">
        <v>1</v>
      </c>
      <c r="F191" s="28">
        <v>1107</v>
      </c>
      <c r="G191" s="33">
        <f t="shared" si="42"/>
        <v>1107</v>
      </c>
      <c r="H191" s="37">
        <v>0.4</v>
      </c>
      <c r="I191" s="33">
        <f t="shared" si="33"/>
        <v>442.8</v>
      </c>
      <c r="J191" s="33">
        <f t="shared" si="34"/>
        <v>664.2</v>
      </c>
      <c r="K191" s="47">
        <v>0.18</v>
      </c>
      <c r="L191" s="40">
        <f t="shared" si="35"/>
        <v>1.19556</v>
      </c>
      <c r="M191" s="40">
        <f t="shared" si="36"/>
        <v>665.39556000000005</v>
      </c>
    </row>
    <row r="192" spans="1:13" ht="24" customHeight="1" x14ac:dyDescent="0.3">
      <c r="A192" s="16">
        <v>180</v>
      </c>
      <c r="B192" s="16" t="s">
        <v>163</v>
      </c>
      <c r="C192" s="14" t="s">
        <v>227</v>
      </c>
      <c r="D192" s="14"/>
      <c r="E192" s="14">
        <v>1</v>
      </c>
      <c r="F192" s="28">
        <v>441</v>
      </c>
      <c r="G192" s="33">
        <f t="shared" si="42"/>
        <v>441</v>
      </c>
      <c r="H192" s="37">
        <v>0.4</v>
      </c>
      <c r="I192" s="33">
        <f t="shared" si="33"/>
        <v>176.4</v>
      </c>
      <c r="J192" s="33">
        <f t="shared" si="34"/>
        <v>264.60000000000002</v>
      </c>
      <c r="K192" s="47">
        <v>0.18</v>
      </c>
      <c r="L192" s="40">
        <f t="shared" si="35"/>
        <v>0.47627999999999998</v>
      </c>
      <c r="M192" s="40">
        <f t="shared" si="36"/>
        <v>265.07628</v>
      </c>
    </row>
    <row r="193" spans="1:13" ht="24" customHeight="1" x14ac:dyDescent="0.3">
      <c r="A193" s="16">
        <v>181</v>
      </c>
      <c r="B193" s="23" t="s">
        <v>253</v>
      </c>
      <c r="C193" s="14" t="s">
        <v>27</v>
      </c>
      <c r="D193" s="14"/>
      <c r="E193" s="14">
        <v>1</v>
      </c>
      <c r="F193" s="28">
        <v>11250</v>
      </c>
      <c r="G193" s="33">
        <f t="shared" si="42"/>
        <v>11250</v>
      </c>
      <c r="H193" s="37">
        <v>0.4</v>
      </c>
      <c r="I193" s="33">
        <f t="shared" si="33"/>
        <v>4500</v>
      </c>
      <c r="J193" s="33">
        <f t="shared" si="34"/>
        <v>6750</v>
      </c>
      <c r="K193" s="47">
        <v>0.18</v>
      </c>
      <c r="L193" s="40">
        <f t="shared" si="35"/>
        <v>12.15</v>
      </c>
      <c r="M193" s="40">
        <f t="shared" si="36"/>
        <v>6762.15</v>
      </c>
    </row>
    <row r="194" spans="1:13" ht="24" customHeight="1" x14ac:dyDescent="0.3">
      <c r="A194" s="16">
        <v>182</v>
      </c>
      <c r="B194" s="16" t="s">
        <v>164</v>
      </c>
      <c r="C194" s="14" t="s">
        <v>227</v>
      </c>
      <c r="D194" s="14"/>
      <c r="E194" s="14">
        <v>1</v>
      </c>
      <c r="F194" s="28">
        <v>306</v>
      </c>
      <c r="G194" s="33">
        <f t="shared" si="42"/>
        <v>306</v>
      </c>
      <c r="H194" s="37">
        <v>0.4</v>
      </c>
      <c r="I194" s="33">
        <f t="shared" si="33"/>
        <v>122.4</v>
      </c>
      <c r="J194" s="33">
        <f t="shared" si="34"/>
        <v>183.6</v>
      </c>
      <c r="K194" s="47">
        <v>0.18</v>
      </c>
      <c r="L194" s="40">
        <f t="shared" si="35"/>
        <v>0.33047999999999994</v>
      </c>
      <c r="M194" s="40">
        <f t="shared" si="36"/>
        <v>183.93047999999999</v>
      </c>
    </row>
    <row r="195" spans="1:13" ht="24" customHeight="1" x14ac:dyDescent="0.3">
      <c r="A195" s="16">
        <v>183</v>
      </c>
      <c r="B195" s="16" t="s">
        <v>165</v>
      </c>
      <c r="C195" s="14" t="s">
        <v>227</v>
      </c>
      <c r="D195" s="14"/>
      <c r="E195" s="14">
        <v>1</v>
      </c>
      <c r="F195" s="28">
        <v>923</v>
      </c>
      <c r="G195" s="33">
        <f t="shared" si="42"/>
        <v>923</v>
      </c>
      <c r="H195" s="37">
        <v>0.4</v>
      </c>
      <c r="I195" s="33">
        <f t="shared" si="33"/>
        <v>369.20000000000005</v>
      </c>
      <c r="J195" s="33">
        <f t="shared" si="34"/>
        <v>553.79999999999995</v>
      </c>
      <c r="K195" s="47">
        <v>0.18</v>
      </c>
      <c r="L195" s="40">
        <f t="shared" si="35"/>
        <v>0.99683999999999984</v>
      </c>
      <c r="M195" s="40">
        <f t="shared" si="36"/>
        <v>554.79683999999997</v>
      </c>
    </row>
    <row r="196" spans="1:13" ht="24" customHeight="1" x14ac:dyDescent="0.3">
      <c r="A196" s="16">
        <v>184</v>
      </c>
      <c r="B196" s="16" t="s">
        <v>166</v>
      </c>
      <c r="C196" s="14" t="s">
        <v>227</v>
      </c>
      <c r="D196" s="14"/>
      <c r="E196" s="14">
        <v>1</v>
      </c>
      <c r="F196" s="28">
        <v>693</v>
      </c>
      <c r="G196" s="33">
        <f t="shared" si="42"/>
        <v>693</v>
      </c>
      <c r="H196" s="37">
        <v>0.4</v>
      </c>
      <c r="I196" s="33">
        <f t="shared" si="33"/>
        <v>277.2</v>
      </c>
      <c r="J196" s="33">
        <f t="shared" si="34"/>
        <v>415.8</v>
      </c>
      <c r="K196" s="47">
        <v>0.18</v>
      </c>
      <c r="L196" s="40">
        <f t="shared" si="35"/>
        <v>0.74843999999999999</v>
      </c>
      <c r="M196" s="40">
        <f t="shared" si="36"/>
        <v>416.54844000000003</v>
      </c>
    </row>
    <row r="197" spans="1:13" ht="24" customHeight="1" x14ac:dyDescent="0.3">
      <c r="A197" s="16">
        <v>185</v>
      </c>
      <c r="B197" s="16" t="s">
        <v>243</v>
      </c>
      <c r="C197" s="14" t="s">
        <v>227</v>
      </c>
      <c r="D197" s="14"/>
      <c r="E197" s="14">
        <v>2</v>
      </c>
      <c r="F197" s="28">
        <v>378</v>
      </c>
      <c r="G197" s="33">
        <f t="shared" si="42"/>
        <v>756</v>
      </c>
      <c r="H197" s="37">
        <v>0.4</v>
      </c>
      <c r="I197" s="33">
        <f t="shared" si="33"/>
        <v>302.40000000000003</v>
      </c>
      <c r="J197" s="33">
        <f t="shared" si="34"/>
        <v>453.59999999999997</v>
      </c>
      <c r="K197" s="47">
        <v>0.18</v>
      </c>
      <c r="L197" s="40">
        <f t="shared" si="35"/>
        <v>0.81647999999999998</v>
      </c>
      <c r="M197" s="40">
        <f t="shared" si="36"/>
        <v>454.41647999999998</v>
      </c>
    </row>
    <row r="198" spans="1:13" ht="24" customHeight="1" x14ac:dyDescent="0.3">
      <c r="A198" s="16">
        <v>186</v>
      </c>
      <c r="B198" s="16" t="s">
        <v>272</v>
      </c>
      <c r="C198" s="14" t="s">
        <v>289</v>
      </c>
      <c r="D198" s="14"/>
      <c r="E198" s="14">
        <v>1</v>
      </c>
      <c r="F198" s="27">
        <v>12000</v>
      </c>
      <c r="G198" s="33">
        <f t="shared" si="42"/>
        <v>12000</v>
      </c>
      <c r="H198" s="37">
        <v>0.4</v>
      </c>
      <c r="I198" s="33">
        <f t="shared" si="33"/>
        <v>4800</v>
      </c>
      <c r="J198" s="33">
        <f t="shared" si="34"/>
        <v>7200</v>
      </c>
      <c r="K198" s="47">
        <v>0.18</v>
      </c>
      <c r="L198" s="40">
        <f t="shared" si="35"/>
        <v>12.96</v>
      </c>
      <c r="M198" s="40">
        <f t="shared" si="36"/>
        <v>7212.96</v>
      </c>
    </row>
    <row r="199" spans="1:13" ht="24" customHeight="1" x14ac:dyDescent="0.3">
      <c r="A199" s="16">
        <v>187</v>
      </c>
      <c r="B199" s="16" t="s">
        <v>272</v>
      </c>
      <c r="C199" s="14" t="s">
        <v>289</v>
      </c>
      <c r="D199" s="14"/>
      <c r="E199" s="14">
        <v>2</v>
      </c>
      <c r="F199" s="27">
        <v>12000</v>
      </c>
      <c r="G199" s="33">
        <f t="shared" si="42"/>
        <v>24000</v>
      </c>
      <c r="H199" s="37">
        <v>0.4</v>
      </c>
      <c r="I199" s="33">
        <f t="shared" si="33"/>
        <v>9600</v>
      </c>
      <c r="J199" s="33">
        <f t="shared" si="34"/>
        <v>14400</v>
      </c>
      <c r="K199" s="47">
        <v>0.18</v>
      </c>
      <c r="L199" s="40">
        <f t="shared" si="35"/>
        <v>25.92</v>
      </c>
      <c r="M199" s="40">
        <f t="shared" si="36"/>
        <v>14425.92</v>
      </c>
    </row>
    <row r="200" spans="1:13" ht="24" customHeight="1" x14ac:dyDescent="0.3">
      <c r="A200" s="16">
        <v>188</v>
      </c>
      <c r="B200" s="16" t="s">
        <v>167</v>
      </c>
      <c r="C200" s="14" t="s">
        <v>227</v>
      </c>
      <c r="D200" s="14"/>
      <c r="E200" s="14">
        <v>1</v>
      </c>
      <c r="F200" s="28">
        <v>923</v>
      </c>
      <c r="G200" s="33">
        <f t="shared" si="42"/>
        <v>923</v>
      </c>
      <c r="H200" s="37">
        <v>0.4</v>
      </c>
      <c r="I200" s="33">
        <f t="shared" si="33"/>
        <v>369.20000000000005</v>
      </c>
      <c r="J200" s="33">
        <f t="shared" si="34"/>
        <v>553.79999999999995</v>
      </c>
      <c r="K200" s="47">
        <v>0.18</v>
      </c>
      <c r="L200" s="40">
        <f t="shared" si="35"/>
        <v>0.99683999999999984</v>
      </c>
      <c r="M200" s="40">
        <f t="shared" si="36"/>
        <v>554.79683999999997</v>
      </c>
    </row>
    <row r="201" spans="1:13" ht="24" customHeight="1" x14ac:dyDescent="0.3">
      <c r="A201" s="16">
        <v>189</v>
      </c>
      <c r="B201" s="16" t="s">
        <v>168</v>
      </c>
      <c r="C201" s="14" t="s">
        <v>227</v>
      </c>
      <c r="D201" s="14"/>
      <c r="E201" s="14">
        <v>1</v>
      </c>
      <c r="F201" s="28">
        <v>491</v>
      </c>
      <c r="G201" s="33">
        <f t="shared" si="42"/>
        <v>491</v>
      </c>
      <c r="H201" s="37">
        <v>0.4</v>
      </c>
      <c r="I201" s="33">
        <f t="shared" si="33"/>
        <v>196.4</v>
      </c>
      <c r="J201" s="33">
        <f t="shared" si="34"/>
        <v>294.60000000000002</v>
      </c>
      <c r="K201" s="47">
        <v>0.18</v>
      </c>
      <c r="L201" s="40">
        <f t="shared" si="35"/>
        <v>0.53027999999999997</v>
      </c>
      <c r="M201" s="40">
        <f t="shared" si="36"/>
        <v>295.13028000000003</v>
      </c>
    </row>
    <row r="202" spans="1:13" ht="24" customHeight="1" x14ac:dyDescent="0.3">
      <c r="A202" s="16">
        <v>190</v>
      </c>
      <c r="B202" s="16" t="s">
        <v>169</v>
      </c>
      <c r="C202" s="14" t="s">
        <v>227</v>
      </c>
      <c r="D202" s="14"/>
      <c r="E202" s="14">
        <v>1</v>
      </c>
      <c r="F202" s="28">
        <v>5000</v>
      </c>
      <c r="G202" s="33">
        <f t="shared" si="42"/>
        <v>5000</v>
      </c>
      <c r="H202" s="37">
        <v>0.4</v>
      </c>
      <c r="I202" s="33">
        <f t="shared" si="33"/>
        <v>2000</v>
      </c>
      <c r="J202" s="33">
        <f t="shared" si="34"/>
        <v>3000</v>
      </c>
      <c r="K202" s="47">
        <v>0.18</v>
      </c>
      <c r="L202" s="40">
        <f t="shared" si="35"/>
        <v>5.4</v>
      </c>
      <c r="M202" s="40">
        <f t="shared" si="36"/>
        <v>3005.4</v>
      </c>
    </row>
    <row r="203" spans="1:13" ht="24" customHeight="1" x14ac:dyDescent="0.3">
      <c r="A203" s="16">
        <v>191</v>
      </c>
      <c r="B203" s="16" t="s">
        <v>170</v>
      </c>
      <c r="C203" s="14" t="s">
        <v>227</v>
      </c>
      <c r="D203" s="14"/>
      <c r="E203" s="14">
        <v>1</v>
      </c>
      <c r="F203" s="28">
        <v>630</v>
      </c>
      <c r="G203" s="33">
        <f t="shared" si="42"/>
        <v>630</v>
      </c>
      <c r="H203" s="37">
        <v>0.4</v>
      </c>
      <c r="I203" s="33">
        <f t="shared" si="33"/>
        <v>252</v>
      </c>
      <c r="J203" s="33">
        <f t="shared" si="34"/>
        <v>378</v>
      </c>
      <c r="K203" s="47">
        <v>0.18</v>
      </c>
      <c r="L203" s="40">
        <f t="shared" si="35"/>
        <v>0.68039999999999989</v>
      </c>
      <c r="M203" s="40">
        <f t="shared" si="36"/>
        <v>378.68040000000002</v>
      </c>
    </row>
    <row r="204" spans="1:13" ht="24" customHeight="1" x14ac:dyDescent="0.3">
      <c r="A204" s="16">
        <v>192</v>
      </c>
      <c r="B204" s="16" t="s">
        <v>271</v>
      </c>
      <c r="C204" s="14" t="s">
        <v>236</v>
      </c>
      <c r="D204" s="14"/>
      <c r="E204" s="14">
        <v>1</v>
      </c>
      <c r="F204" s="28">
        <v>13900</v>
      </c>
      <c r="G204" s="33">
        <f t="shared" si="42"/>
        <v>13900</v>
      </c>
      <c r="H204" s="37">
        <v>0</v>
      </c>
      <c r="I204" s="33">
        <f t="shared" si="33"/>
        <v>0</v>
      </c>
      <c r="J204" s="33">
        <f t="shared" si="34"/>
        <v>13900</v>
      </c>
      <c r="K204" s="47">
        <v>0.18</v>
      </c>
      <c r="L204" s="40">
        <f t="shared" si="35"/>
        <v>25.02</v>
      </c>
      <c r="M204" s="40">
        <f t="shared" si="36"/>
        <v>13925.02</v>
      </c>
    </row>
    <row r="205" spans="1:13" ht="24" customHeight="1" x14ac:dyDescent="0.3">
      <c r="A205" s="16">
        <v>193</v>
      </c>
      <c r="B205" s="16" t="s">
        <v>171</v>
      </c>
      <c r="C205" s="14" t="s">
        <v>227</v>
      </c>
      <c r="D205" s="14"/>
      <c r="E205" s="14">
        <v>1</v>
      </c>
      <c r="F205" s="28">
        <v>482</v>
      </c>
      <c r="G205" s="33">
        <f t="shared" si="42"/>
        <v>482</v>
      </c>
      <c r="H205" s="37">
        <v>0.4</v>
      </c>
      <c r="I205" s="33">
        <f t="shared" si="33"/>
        <v>192.8</v>
      </c>
      <c r="J205" s="33">
        <f t="shared" si="34"/>
        <v>289.2</v>
      </c>
      <c r="K205" s="47">
        <v>0.18</v>
      </c>
      <c r="L205" s="40">
        <f t="shared" si="35"/>
        <v>0.52056000000000002</v>
      </c>
      <c r="M205" s="40">
        <f t="shared" si="36"/>
        <v>289.72055999999998</v>
      </c>
    </row>
    <row r="206" spans="1:13" ht="24" customHeight="1" x14ac:dyDescent="0.3">
      <c r="A206" s="16">
        <v>194</v>
      </c>
      <c r="B206" s="16" t="s">
        <v>172</v>
      </c>
      <c r="C206" s="14" t="s">
        <v>40</v>
      </c>
      <c r="D206" s="14"/>
      <c r="E206" s="14">
        <v>1</v>
      </c>
      <c r="F206" s="28">
        <v>1712</v>
      </c>
      <c r="G206" s="33">
        <f t="shared" si="42"/>
        <v>1712</v>
      </c>
      <c r="H206" s="37">
        <v>0.4</v>
      </c>
      <c r="I206" s="33">
        <f t="shared" si="33"/>
        <v>684.80000000000007</v>
      </c>
      <c r="J206" s="33">
        <f t="shared" si="34"/>
        <v>1027.1999999999998</v>
      </c>
      <c r="K206" s="47">
        <v>0.18</v>
      </c>
      <c r="L206" s="40">
        <f t="shared" si="35"/>
        <v>1.8489599999999995</v>
      </c>
      <c r="M206" s="40">
        <f t="shared" si="36"/>
        <v>1029.0489599999999</v>
      </c>
    </row>
    <row r="207" spans="1:13" ht="24" customHeight="1" x14ac:dyDescent="0.3">
      <c r="A207" s="16">
        <v>195</v>
      </c>
      <c r="B207" s="16" t="s">
        <v>173</v>
      </c>
      <c r="C207" s="14" t="s">
        <v>38</v>
      </c>
      <c r="D207" s="14"/>
      <c r="E207" s="14">
        <v>1</v>
      </c>
      <c r="F207" s="28">
        <v>1338</v>
      </c>
      <c r="G207" s="33">
        <f t="shared" si="42"/>
        <v>1338</v>
      </c>
      <c r="H207" s="37">
        <v>0.25</v>
      </c>
      <c r="I207" s="33">
        <f t="shared" si="33"/>
        <v>334.5</v>
      </c>
      <c r="J207" s="33">
        <f t="shared" si="34"/>
        <v>1003.5</v>
      </c>
      <c r="K207" s="47">
        <v>0.18</v>
      </c>
      <c r="L207" s="40">
        <f t="shared" si="35"/>
        <v>1.8063</v>
      </c>
      <c r="M207" s="40">
        <f t="shared" si="36"/>
        <v>1005.3063</v>
      </c>
    </row>
    <row r="208" spans="1:13" ht="24" customHeight="1" x14ac:dyDescent="0.3">
      <c r="A208" s="16">
        <v>196</v>
      </c>
      <c r="B208" s="16" t="s">
        <v>174</v>
      </c>
      <c r="C208" s="14" t="s">
        <v>40</v>
      </c>
      <c r="D208" s="14"/>
      <c r="E208" s="14">
        <v>1</v>
      </c>
      <c r="F208" s="28">
        <v>952</v>
      </c>
      <c r="G208" s="33">
        <f t="shared" si="42"/>
        <v>952</v>
      </c>
      <c r="H208" s="37">
        <v>0.4</v>
      </c>
      <c r="I208" s="33">
        <f t="shared" si="33"/>
        <v>380.8</v>
      </c>
      <c r="J208" s="33">
        <f t="shared" si="34"/>
        <v>571.20000000000005</v>
      </c>
      <c r="K208" s="47">
        <v>0.18</v>
      </c>
      <c r="L208" s="40">
        <f t="shared" si="35"/>
        <v>1.02816</v>
      </c>
      <c r="M208" s="40">
        <f t="shared" si="36"/>
        <v>572.22816</v>
      </c>
    </row>
    <row r="209" spans="1:13" ht="24" customHeight="1" x14ac:dyDescent="0.3">
      <c r="A209" s="16">
        <v>197</v>
      </c>
      <c r="B209" s="16" t="s">
        <v>175</v>
      </c>
      <c r="C209" s="14" t="s">
        <v>40</v>
      </c>
      <c r="D209" s="14"/>
      <c r="E209" s="14">
        <v>1</v>
      </c>
      <c r="F209" s="28">
        <v>6155</v>
      </c>
      <c r="G209" s="33">
        <f t="shared" si="42"/>
        <v>6155</v>
      </c>
      <c r="H209" s="37">
        <v>0.4</v>
      </c>
      <c r="I209" s="33">
        <f t="shared" si="33"/>
        <v>2462</v>
      </c>
      <c r="J209" s="33">
        <f t="shared" si="34"/>
        <v>3693</v>
      </c>
      <c r="K209" s="47">
        <v>0.18</v>
      </c>
      <c r="L209" s="40">
        <f t="shared" si="35"/>
        <v>6.6474000000000002</v>
      </c>
      <c r="M209" s="40">
        <f t="shared" si="36"/>
        <v>3699.6473999999998</v>
      </c>
    </row>
    <row r="210" spans="1:13" ht="24" customHeight="1" x14ac:dyDescent="0.3">
      <c r="A210" s="16">
        <v>198</v>
      </c>
      <c r="B210" s="16" t="s">
        <v>176</v>
      </c>
      <c r="C210" s="14" t="s">
        <v>40</v>
      </c>
      <c r="D210" s="14"/>
      <c r="E210" s="14">
        <v>1</v>
      </c>
      <c r="F210" s="28">
        <v>203</v>
      </c>
      <c r="G210" s="33">
        <f t="shared" si="42"/>
        <v>203</v>
      </c>
      <c r="H210" s="37">
        <v>0.4</v>
      </c>
      <c r="I210" s="33">
        <f t="shared" si="33"/>
        <v>81.2</v>
      </c>
      <c r="J210" s="33">
        <f t="shared" si="34"/>
        <v>121.8</v>
      </c>
      <c r="K210" s="47">
        <v>0.05</v>
      </c>
      <c r="L210" s="40">
        <f t="shared" si="35"/>
        <v>6.0899999999999996E-2</v>
      </c>
      <c r="M210" s="40">
        <f t="shared" si="36"/>
        <v>121.8609</v>
      </c>
    </row>
    <row r="211" spans="1:13" ht="24" customHeight="1" x14ac:dyDescent="0.3">
      <c r="A211" s="16">
        <v>199</v>
      </c>
      <c r="B211" s="16" t="s">
        <v>177</v>
      </c>
      <c r="C211" s="14" t="s">
        <v>227</v>
      </c>
      <c r="D211" s="14"/>
      <c r="E211" s="14">
        <v>1</v>
      </c>
      <c r="F211" s="28">
        <v>657</v>
      </c>
      <c r="G211" s="33">
        <f t="shared" si="42"/>
        <v>657</v>
      </c>
      <c r="H211" s="37">
        <v>0.4</v>
      </c>
      <c r="I211" s="33">
        <f t="shared" si="33"/>
        <v>262.8</v>
      </c>
      <c r="J211" s="33">
        <f t="shared" si="34"/>
        <v>394.2</v>
      </c>
      <c r="K211" s="47">
        <v>0.18</v>
      </c>
      <c r="L211" s="40">
        <f t="shared" si="35"/>
        <v>0.70955999999999986</v>
      </c>
      <c r="M211" s="40">
        <f t="shared" si="36"/>
        <v>394.90956</v>
      </c>
    </row>
    <row r="212" spans="1:13" ht="24" customHeight="1" x14ac:dyDescent="0.3">
      <c r="A212" s="16">
        <v>200</v>
      </c>
      <c r="B212" s="16" t="s">
        <v>178</v>
      </c>
      <c r="C212" s="14" t="s">
        <v>31</v>
      </c>
      <c r="D212" s="14"/>
      <c r="E212" s="14">
        <v>1</v>
      </c>
      <c r="F212" s="28">
        <v>720</v>
      </c>
      <c r="G212" s="33">
        <f t="shared" si="42"/>
        <v>720</v>
      </c>
      <c r="H212" s="37">
        <v>0.4</v>
      </c>
      <c r="I212" s="33">
        <f t="shared" si="33"/>
        <v>288</v>
      </c>
      <c r="J212" s="33">
        <f t="shared" si="34"/>
        <v>432</v>
      </c>
      <c r="K212" s="47">
        <v>0.18</v>
      </c>
      <c r="L212" s="40">
        <f t="shared" si="35"/>
        <v>0.77759999999999996</v>
      </c>
      <c r="M212" s="40">
        <f t="shared" si="36"/>
        <v>432.77760000000001</v>
      </c>
    </row>
    <row r="213" spans="1:13" ht="24" customHeight="1" x14ac:dyDescent="0.3">
      <c r="A213" s="16">
        <v>201</v>
      </c>
      <c r="B213" s="16" t="s">
        <v>179</v>
      </c>
      <c r="C213" s="14" t="s">
        <v>40</v>
      </c>
      <c r="D213" s="14"/>
      <c r="E213" s="14">
        <v>1</v>
      </c>
      <c r="F213" s="28">
        <v>2269</v>
      </c>
      <c r="G213" s="33">
        <f t="shared" si="42"/>
        <v>2269</v>
      </c>
      <c r="H213" s="37">
        <v>0.4</v>
      </c>
      <c r="I213" s="33">
        <f t="shared" si="33"/>
        <v>907.6</v>
      </c>
      <c r="J213" s="33">
        <f t="shared" si="34"/>
        <v>1361.4</v>
      </c>
      <c r="K213" s="47">
        <v>0.18</v>
      </c>
      <c r="L213" s="40">
        <f t="shared" si="35"/>
        <v>2.45052</v>
      </c>
      <c r="M213" s="40">
        <f t="shared" si="36"/>
        <v>1363.8505200000002</v>
      </c>
    </row>
    <row r="214" spans="1:13" ht="24" customHeight="1" x14ac:dyDescent="0.3">
      <c r="A214" s="16">
        <v>202</v>
      </c>
      <c r="B214" s="16" t="s">
        <v>180</v>
      </c>
      <c r="C214" s="14" t="s">
        <v>31</v>
      </c>
      <c r="D214" s="14"/>
      <c r="E214" s="14">
        <v>1</v>
      </c>
      <c r="F214" s="28">
        <v>5200</v>
      </c>
      <c r="G214" s="33">
        <f t="shared" si="42"/>
        <v>5200</v>
      </c>
      <c r="H214" s="37">
        <v>0.4</v>
      </c>
      <c r="I214" s="33">
        <f t="shared" si="33"/>
        <v>2080</v>
      </c>
      <c r="J214" s="33">
        <f t="shared" si="34"/>
        <v>3120</v>
      </c>
      <c r="K214" s="47">
        <v>0.18</v>
      </c>
      <c r="L214" s="40">
        <f t="shared" si="35"/>
        <v>5.6160000000000005</v>
      </c>
      <c r="M214" s="40">
        <f t="shared" si="36"/>
        <v>3125.616</v>
      </c>
    </row>
    <row r="215" spans="1:13" ht="24" customHeight="1" x14ac:dyDescent="0.3">
      <c r="A215" s="16">
        <v>203</v>
      </c>
      <c r="B215" s="16" t="s">
        <v>181</v>
      </c>
      <c r="C215" s="14" t="s">
        <v>227</v>
      </c>
      <c r="D215" s="14"/>
      <c r="E215" s="14">
        <v>1</v>
      </c>
      <c r="F215" s="28">
        <v>302</v>
      </c>
      <c r="G215" s="33">
        <f t="shared" si="42"/>
        <v>302</v>
      </c>
      <c r="H215" s="37">
        <v>0.4</v>
      </c>
      <c r="I215" s="33">
        <f t="shared" si="33"/>
        <v>120.80000000000001</v>
      </c>
      <c r="J215" s="33">
        <f t="shared" si="34"/>
        <v>181.2</v>
      </c>
      <c r="K215" s="47">
        <v>0.18</v>
      </c>
      <c r="L215" s="40">
        <f t="shared" si="35"/>
        <v>0.32616000000000001</v>
      </c>
      <c r="M215" s="40">
        <f t="shared" si="36"/>
        <v>181.52615999999998</v>
      </c>
    </row>
    <row r="216" spans="1:13" ht="24" customHeight="1" x14ac:dyDescent="0.3">
      <c r="A216" s="16">
        <v>204</v>
      </c>
      <c r="B216" s="16" t="s">
        <v>182</v>
      </c>
      <c r="C216" s="14" t="s">
        <v>227</v>
      </c>
      <c r="D216" s="14"/>
      <c r="E216" s="14">
        <v>1</v>
      </c>
      <c r="F216" s="28">
        <v>550</v>
      </c>
      <c r="G216" s="33">
        <f t="shared" si="42"/>
        <v>550</v>
      </c>
      <c r="H216" s="37">
        <v>0.4</v>
      </c>
      <c r="I216" s="33">
        <f t="shared" si="33"/>
        <v>220</v>
      </c>
      <c r="J216" s="33">
        <f t="shared" si="34"/>
        <v>330</v>
      </c>
      <c r="K216" s="47">
        <v>0.18</v>
      </c>
      <c r="L216" s="40">
        <f t="shared" si="35"/>
        <v>0.59399999999999997</v>
      </c>
      <c r="M216" s="40">
        <f t="shared" si="36"/>
        <v>330.59399999999999</v>
      </c>
    </row>
    <row r="217" spans="1:13" ht="24" customHeight="1" x14ac:dyDescent="0.3">
      <c r="A217" s="16">
        <v>205</v>
      </c>
      <c r="B217" s="16" t="s">
        <v>183</v>
      </c>
      <c r="C217" s="14" t="s">
        <v>227</v>
      </c>
      <c r="D217" s="14"/>
      <c r="E217" s="14">
        <v>1</v>
      </c>
      <c r="F217" s="28">
        <v>280</v>
      </c>
      <c r="G217" s="33">
        <f t="shared" si="42"/>
        <v>280</v>
      </c>
      <c r="H217" s="37">
        <v>0.4</v>
      </c>
      <c r="I217" s="33">
        <f t="shared" si="33"/>
        <v>112</v>
      </c>
      <c r="J217" s="33">
        <f t="shared" si="34"/>
        <v>168</v>
      </c>
      <c r="K217" s="47">
        <v>0.18</v>
      </c>
      <c r="L217" s="40">
        <f t="shared" si="35"/>
        <v>0.3024</v>
      </c>
      <c r="M217" s="40">
        <f t="shared" si="36"/>
        <v>168.30240000000001</v>
      </c>
    </row>
    <row r="218" spans="1:13" ht="24" customHeight="1" x14ac:dyDescent="0.3">
      <c r="A218" s="16">
        <v>206</v>
      </c>
      <c r="B218" s="16" t="s">
        <v>184</v>
      </c>
      <c r="C218" s="14" t="s">
        <v>227</v>
      </c>
      <c r="D218" s="14"/>
      <c r="E218" s="14">
        <v>1</v>
      </c>
      <c r="F218" s="28">
        <v>207</v>
      </c>
      <c r="G218" s="33">
        <f t="shared" si="42"/>
        <v>207</v>
      </c>
      <c r="H218" s="37">
        <v>0.4</v>
      </c>
      <c r="I218" s="33">
        <f t="shared" si="33"/>
        <v>82.800000000000011</v>
      </c>
      <c r="J218" s="33">
        <f t="shared" si="34"/>
        <v>124.19999999999999</v>
      </c>
      <c r="K218" s="47">
        <v>0.18</v>
      </c>
      <c r="L218" s="40">
        <f t="shared" si="35"/>
        <v>0.22355999999999998</v>
      </c>
      <c r="M218" s="40">
        <f t="shared" si="36"/>
        <v>124.42355999999999</v>
      </c>
    </row>
    <row r="219" spans="1:13" ht="24" customHeight="1" x14ac:dyDescent="0.3">
      <c r="A219" s="16">
        <v>207</v>
      </c>
      <c r="B219" s="16" t="s">
        <v>185</v>
      </c>
      <c r="C219" s="14" t="s">
        <v>227</v>
      </c>
      <c r="D219" s="14"/>
      <c r="E219" s="14">
        <v>1</v>
      </c>
      <c r="F219" s="28">
        <v>936</v>
      </c>
      <c r="G219" s="33">
        <f t="shared" si="42"/>
        <v>936</v>
      </c>
      <c r="H219" s="37">
        <v>0.4</v>
      </c>
      <c r="I219" s="33">
        <f t="shared" si="33"/>
        <v>374.40000000000003</v>
      </c>
      <c r="J219" s="33">
        <f t="shared" si="34"/>
        <v>561.59999999999991</v>
      </c>
      <c r="K219" s="47">
        <v>0.18</v>
      </c>
      <c r="L219" s="40">
        <f t="shared" si="35"/>
        <v>1.0108799999999998</v>
      </c>
      <c r="M219" s="40">
        <f t="shared" si="36"/>
        <v>562.61087999999995</v>
      </c>
    </row>
    <row r="220" spans="1:13" ht="24" customHeight="1" x14ac:dyDescent="0.3">
      <c r="A220" s="16">
        <v>208</v>
      </c>
      <c r="B220" s="16" t="s">
        <v>186</v>
      </c>
      <c r="C220" s="14" t="s">
        <v>227</v>
      </c>
      <c r="D220" s="14"/>
      <c r="E220" s="14">
        <v>1</v>
      </c>
      <c r="F220" s="28">
        <v>936</v>
      </c>
      <c r="G220" s="33">
        <f t="shared" si="42"/>
        <v>936</v>
      </c>
      <c r="H220" s="37">
        <v>0.4</v>
      </c>
      <c r="I220" s="33">
        <f t="shared" si="33"/>
        <v>374.40000000000003</v>
      </c>
      <c r="J220" s="33">
        <f t="shared" si="34"/>
        <v>561.59999999999991</v>
      </c>
      <c r="K220" s="47">
        <v>0.18</v>
      </c>
      <c r="L220" s="40">
        <f t="shared" si="35"/>
        <v>1.0108799999999998</v>
      </c>
      <c r="M220" s="40">
        <f t="shared" si="36"/>
        <v>562.61087999999995</v>
      </c>
    </row>
    <row r="221" spans="1:13" ht="24" customHeight="1" x14ac:dyDescent="0.3">
      <c r="A221" s="16">
        <v>209</v>
      </c>
      <c r="B221" s="16" t="s">
        <v>187</v>
      </c>
      <c r="C221" s="14" t="s">
        <v>227</v>
      </c>
      <c r="D221" s="14"/>
      <c r="E221" s="14">
        <v>2</v>
      </c>
      <c r="F221" s="28">
        <v>756</v>
      </c>
      <c r="G221" s="33">
        <f t="shared" si="42"/>
        <v>1512</v>
      </c>
      <c r="H221" s="37">
        <v>0.4</v>
      </c>
      <c r="I221" s="33">
        <f t="shared" si="33"/>
        <v>604.80000000000007</v>
      </c>
      <c r="J221" s="33">
        <f t="shared" si="34"/>
        <v>907.19999999999993</v>
      </c>
      <c r="K221" s="47">
        <v>0.18</v>
      </c>
      <c r="L221" s="40">
        <f t="shared" si="35"/>
        <v>1.63296</v>
      </c>
      <c r="M221" s="40">
        <f t="shared" si="36"/>
        <v>908.83295999999996</v>
      </c>
    </row>
    <row r="222" spans="1:13" ht="24" customHeight="1" x14ac:dyDescent="0.3">
      <c r="A222" s="16">
        <v>210</v>
      </c>
      <c r="B222" s="16" t="s">
        <v>188</v>
      </c>
      <c r="C222" s="14" t="s">
        <v>227</v>
      </c>
      <c r="D222" s="14"/>
      <c r="E222" s="14">
        <v>1</v>
      </c>
      <c r="F222" s="28">
        <v>2012</v>
      </c>
      <c r="G222" s="33">
        <f t="shared" si="42"/>
        <v>2012</v>
      </c>
      <c r="H222" s="37">
        <v>0.4</v>
      </c>
      <c r="I222" s="33">
        <f t="shared" si="33"/>
        <v>804.80000000000007</v>
      </c>
      <c r="J222" s="33">
        <f t="shared" si="34"/>
        <v>1207.1999999999998</v>
      </c>
      <c r="K222" s="47">
        <v>0.18</v>
      </c>
      <c r="L222" s="40">
        <f t="shared" si="35"/>
        <v>2.1729599999999998</v>
      </c>
      <c r="M222" s="40">
        <f t="shared" si="36"/>
        <v>1209.3729599999999</v>
      </c>
    </row>
    <row r="223" spans="1:13" ht="24" customHeight="1" x14ac:dyDescent="0.3">
      <c r="A223" s="16">
        <v>211</v>
      </c>
      <c r="B223" s="16" t="s">
        <v>189</v>
      </c>
      <c r="C223" s="14" t="s">
        <v>31</v>
      </c>
      <c r="D223" s="14"/>
      <c r="E223" s="14">
        <v>1</v>
      </c>
      <c r="F223" s="28">
        <v>220</v>
      </c>
      <c r="G223" s="33">
        <f t="shared" si="42"/>
        <v>220</v>
      </c>
      <c r="H223" s="37">
        <v>0.4</v>
      </c>
      <c r="I223" s="33">
        <f t="shared" si="33"/>
        <v>88</v>
      </c>
      <c r="J223" s="33">
        <f t="shared" si="34"/>
        <v>132</v>
      </c>
      <c r="K223" s="47">
        <v>0.18</v>
      </c>
      <c r="L223" s="40">
        <f t="shared" si="35"/>
        <v>0.23759999999999998</v>
      </c>
      <c r="M223" s="40">
        <f t="shared" si="36"/>
        <v>132.23759999999999</v>
      </c>
    </row>
    <row r="224" spans="1:13" ht="33" customHeight="1" x14ac:dyDescent="0.3">
      <c r="A224" s="16">
        <v>212</v>
      </c>
      <c r="B224" s="16" t="s">
        <v>190</v>
      </c>
      <c r="C224" s="14" t="s">
        <v>31</v>
      </c>
      <c r="D224" s="14"/>
      <c r="E224" s="14">
        <v>1</v>
      </c>
      <c r="F224" s="28">
        <v>500</v>
      </c>
      <c r="G224" s="33">
        <f t="shared" si="42"/>
        <v>500</v>
      </c>
      <c r="H224" s="37">
        <v>0.4</v>
      </c>
      <c r="I224" s="33">
        <f t="shared" si="33"/>
        <v>200</v>
      </c>
      <c r="J224" s="33">
        <f t="shared" si="34"/>
        <v>300</v>
      </c>
      <c r="K224" s="47">
        <v>0.18</v>
      </c>
      <c r="L224" s="40">
        <f t="shared" si="35"/>
        <v>0.54</v>
      </c>
      <c r="M224" s="40">
        <f t="shared" si="36"/>
        <v>300.54000000000002</v>
      </c>
    </row>
    <row r="225" spans="1:13" ht="33" customHeight="1" x14ac:dyDescent="0.3">
      <c r="A225" s="16">
        <v>213</v>
      </c>
      <c r="B225" s="16" t="s">
        <v>191</v>
      </c>
      <c r="C225" s="14" t="s">
        <v>31</v>
      </c>
      <c r="D225" s="14"/>
      <c r="E225" s="14">
        <v>2</v>
      </c>
      <c r="F225" s="28">
        <v>5200</v>
      </c>
      <c r="G225" s="33">
        <f t="shared" si="42"/>
        <v>10400</v>
      </c>
      <c r="H225" s="37">
        <v>0.4</v>
      </c>
      <c r="I225" s="33">
        <f t="shared" si="33"/>
        <v>4160</v>
      </c>
      <c r="J225" s="33">
        <f t="shared" si="34"/>
        <v>6240</v>
      </c>
      <c r="K225" s="47">
        <v>0.18</v>
      </c>
      <c r="L225" s="40">
        <f t="shared" si="35"/>
        <v>11.232000000000001</v>
      </c>
      <c r="M225" s="40">
        <f t="shared" si="36"/>
        <v>6251.232</v>
      </c>
    </row>
    <row r="226" spans="1:13" ht="33" customHeight="1" x14ac:dyDescent="0.3">
      <c r="A226" s="16">
        <v>214</v>
      </c>
      <c r="B226" s="17" t="s">
        <v>192</v>
      </c>
      <c r="C226" s="14" t="s">
        <v>227</v>
      </c>
      <c r="D226" s="14"/>
      <c r="E226" s="14">
        <v>1</v>
      </c>
      <c r="F226" s="28">
        <v>567</v>
      </c>
      <c r="G226" s="33">
        <f t="shared" si="42"/>
        <v>567</v>
      </c>
      <c r="H226" s="37">
        <v>0.4</v>
      </c>
      <c r="I226" s="33">
        <f t="shared" si="33"/>
        <v>226.8</v>
      </c>
      <c r="J226" s="33">
        <f t="shared" si="34"/>
        <v>340.2</v>
      </c>
      <c r="K226" s="47">
        <v>0.18</v>
      </c>
      <c r="L226" s="40">
        <f t="shared" si="35"/>
        <v>0.61236000000000002</v>
      </c>
      <c r="M226" s="40">
        <f t="shared" si="36"/>
        <v>340.81236000000001</v>
      </c>
    </row>
    <row r="227" spans="1:13" ht="33" customHeight="1" x14ac:dyDescent="0.3">
      <c r="A227" s="16">
        <v>215</v>
      </c>
      <c r="B227" s="17" t="s">
        <v>193</v>
      </c>
      <c r="C227" s="14" t="s">
        <v>227</v>
      </c>
      <c r="D227" s="14"/>
      <c r="E227" s="14">
        <v>1</v>
      </c>
      <c r="F227" s="28">
        <v>720</v>
      </c>
      <c r="G227" s="33">
        <f t="shared" si="42"/>
        <v>720</v>
      </c>
      <c r="H227" s="37">
        <v>0.4</v>
      </c>
      <c r="I227" s="33">
        <f t="shared" si="33"/>
        <v>288</v>
      </c>
      <c r="J227" s="33">
        <f t="shared" si="34"/>
        <v>432</v>
      </c>
      <c r="K227" s="47">
        <v>0.18</v>
      </c>
      <c r="L227" s="40">
        <f t="shared" si="35"/>
        <v>0.77759999999999996</v>
      </c>
      <c r="M227" s="40">
        <f t="shared" si="36"/>
        <v>432.77760000000001</v>
      </c>
    </row>
    <row r="228" spans="1:13" ht="33" customHeight="1" x14ac:dyDescent="0.3">
      <c r="A228" s="16">
        <v>216</v>
      </c>
      <c r="B228" s="17" t="s">
        <v>194</v>
      </c>
      <c r="C228" s="14" t="s">
        <v>31</v>
      </c>
      <c r="D228" s="14"/>
      <c r="E228" s="14">
        <v>1</v>
      </c>
      <c r="F228" s="28">
        <v>2500</v>
      </c>
      <c r="G228" s="33">
        <f t="shared" si="42"/>
        <v>2500</v>
      </c>
      <c r="H228" s="37">
        <v>0.4</v>
      </c>
      <c r="I228" s="33">
        <f t="shared" si="33"/>
        <v>1000</v>
      </c>
      <c r="J228" s="33">
        <f t="shared" si="34"/>
        <v>1500</v>
      </c>
      <c r="K228" s="47">
        <v>0.18</v>
      </c>
      <c r="L228" s="40">
        <f t="shared" si="35"/>
        <v>2.7</v>
      </c>
      <c r="M228" s="40">
        <f t="shared" si="36"/>
        <v>1502.7</v>
      </c>
    </row>
    <row r="229" spans="1:13" ht="33" customHeight="1" x14ac:dyDescent="0.3">
      <c r="A229" s="16">
        <v>217</v>
      </c>
      <c r="B229" s="54" t="s">
        <v>195</v>
      </c>
      <c r="C229" s="14" t="s">
        <v>227</v>
      </c>
      <c r="D229" s="14"/>
      <c r="E229" s="14">
        <v>1</v>
      </c>
      <c r="F229" s="28">
        <v>550</v>
      </c>
      <c r="G229" s="33">
        <f t="shared" si="42"/>
        <v>550</v>
      </c>
      <c r="H229" s="37">
        <v>0.4</v>
      </c>
      <c r="I229" s="33">
        <f t="shared" si="33"/>
        <v>220</v>
      </c>
      <c r="J229" s="33">
        <f t="shared" si="34"/>
        <v>330</v>
      </c>
      <c r="K229" s="47">
        <v>0.18</v>
      </c>
      <c r="L229" s="40">
        <f t="shared" si="35"/>
        <v>0.59399999999999997</v>
      </c>
      <c r="M229" s="40">
        <f t="shared" si="36"/>
        <v>330.59399999999999</v>
      </c>
    </row>
    <row r="230" spans="1:13" ht="33" customHeight="1" x14ac:dyDescent="0.3">
      <c r="A230" s="16">
        <v>218</v>
      </c>
      <c r="B230" s="17" t="s">
        <v>196</v>
      </c>
      <c r="C230" s="14" t="s">
        <v>31</v>
      </c>
      <c r="D230" s="14"/>
      <c r="E230" s="14">
        <v>1</v>
      </c>
      <c r="F230" s="28">
        <v>720</v>
      </c>
      <c r="G230" s="33">
        <f t="shared" si="42"/>
        <v>720</v>
      </c>
      <c r="H230" s="37">
        <v>0.4</v>
      </c>
      <c r="I230" s="33">
        <f t="shared" si="33"/>
        <v>288</v>
      </c>
      <c r="J230" s="33">
        <f t="shared" si="34"/>
        <v>432</v>
      </c>
      <c r="K230" s="47">
        <v>0.18</v>
      </c>
      <c r="L230" s="40">
        <f t="shared" si="35"/>
        <v>0.77759999999999996</v>
      </c>
      <c r="M230" s="40">
        <f t="shared" si="36"/>
        <v>432.77760000000001</v>
      </c>
    </row>
    <row r="231" spans="1:13" ht="30.75" customHeight="1" x14ac:dyDescent="0.3">
      <c r="A231" s="16">
        <v>219</v>
      </c>
      <c r="B231" s="16" t="s">
        <v>196</v>
      </c>
      <c r="C231" s="14" t="s">
        <v>31</v>
      </c>
      <c r="D231" s="14"/>
      <c r="E231" s="14">
        <v>1</v>
      </c>
      <c r="F231" s="28">
        <v>720</v>
      </c>
      <c r="G231" s="33">
        <f t="shared" si="42"/>
        <v>720</v>
      </c>
      <c r="H231" s="37">
        <v>0.4</v>
      </c>
      <c r="I231" s="33">
        <f t="shared" si="33"/>
        <v>288</v>
      </c>
      <c r="J231" s="33">
        <f t="shared" si="34"/>
        <v>432</v>
      </c>
      <c r="K231" s="47">
        <v>0.18</v>
      </c>
      <c r="L231" s="40">
        <f t="shared" si="35"/>
        <v>0.77759999999999996</v>
      </c>
      <c r="M231" s="40">
        <f t="shared" si="36"/>
        <v>432.77760000000001</v>
      </c>
    </row>
    <row r="232" spans="1:13" ht="28.5" customHeight="1" x14ac:dyDescent="0.3">
      <c r="A232" s="16">
        <v>220</v>
      </c>
      <c r="B232" s="17" t="s">
        <v>197</v>
      </c>
      <c r="C232" s="14" t="s">
        <v>32</v>
      </c>
      <c r="D232" s="14"/>
      <c r="E232" s="14">
        <v>1</v>
      </c>
      <c r="F232" s="28">
        <v>625</v>
      </c>
      <c r="G232" s="33">
        <f t="shared" si="42"/>
        <v>625</v>
      </c>
      <c r="H232" s="37">
        <v>0.15</v>
      </c>
      <c r="I232" s="33">
        <f t="shared" si="33"/>
        <v>93.75</v>
      </c>
      <c r="J232" s="33">
        <f t="shared" si="34"/>
        <v>531.25</v>
      </c>
      <c r="K232" s="47">
        <v>0.18</v>
      </c>
      <c r="L232" s="40">
        <f t="shared" si="35"/>
        <v>0.95625000000000004</v>
      </c>
      <c r="M232" s="40">
        <f t="shared" si="36"/>
        <v>532.20624999999995</v>
      </c>
    </row>
    <row r="233" spans="1:13" ht="24" customHeight="1" x14ac:dyDescent="0.3">
      <c r="A233" s="16">
        <v>221</v>
      </c>
      <c r="B233" s="23" t="s">
        <v>270</v>
      </c>
      <c r="C233" s="14" t="s">
        <v>227</v>
      </c>
      <c r="D233" s="14"/>
      <c r="E233" s="14">
        <v>1</v>
      </c>
      <c r="F233" s="28">
        <v>2710</v>
      </c>
      <c r="G233" s="33">
        <f t="shared" si="42"/>
        <v>2710</v>
      </c>
      <c r="H233" s="37">
        <v>0.4</v>
      </c>
      <c r="I233" s="33">
        <f t="shared" ref="I233:I274" si="43">G233*H233</f>
        <v>1084</v>
      </c>
      <c r="J233" s="33">
        <f t="shared" ref="J233:J274" si="44">G233-I233</f>
        <v>1626</v>
      </c>
      <c r="K233" s="47">
        <v>0.18</v>
      </c>
      <c r="L233" s="40">
        <f t="shared" ref="L233:L274" si="45">(J233*K233/100)</f>
        <v>2.9268000000000001</v>
      </c>
      <c r="M233" s="40">
        <f t="shared" ref="M233:M274" si="46">(J233+L233)</f>
        <v>1628.9268</v>
      </c>
    </row>
    <row r="234" spans="1:13" ht="30" customHeight="1" x14ac:dyDescent="0.3">
      <c r="A234" s="16">
        <v>222</v>
      </c>
      <c r="B234" s="23" t="s">
        <v>269</v>
      </c>
      <c r="C234" s="14" t="s">
        <v>30</v>
      </c>
      <c r="D234" s="14"/>
      <c r="E234" s="14">
        <v>1</v>
      </c>
      <c r="F234" s="28">
        <v>360</v>
      </c>
      <c r="G234" s="33">
        <f t="shared" si="42"/>
        <v>360</v>
      </c>
      <c r="H234" s="37">
        <v>0.25</v>
      </c>
      <c r="I234" s="33">
        <f t="shared" si="43"/>
        <v>90</v>
      </c>
      <c r="J234" s="33">
        <f t="shared" si="44"/>
        <v>270</v>
      </c>
      <c r="K234" s="47">
        <v>0.18</v>
      </c>
      <c r="L234" s="40">
        <f t="shared" si="45"/>
        <v>0.48599999999999999</v>
      </c>
      <c r="M234" s="40">
        <f t="shared" si="46"/>
        <v>270.48599999999999</v>
      </c>
    </row>
    <row r="235" spans="1:13" ht="30.75" customHeight="1" x14ac:dyDescent="0.3">
      <c r="A235" s="16">
        <v>223</v>
      </c>
      <c r="B235" s="23" t="s">
        <v>268</v>
      </c>
      <c r="C235" s="14" t="s">
        <v>30</v>
      </c>
      <c r="D235" s="14"/>
      <c r="E235" s="14">
        <v>4</v>
      </c>
      <c r="F235" s="28">
        <v>260</v>
      </c>
      <c r="G235" s="33">
        <f t="shared" si="42"/>
        <v>1040</v>
      </c>
      <c r="H235" s="37">
        <v>0.25</v>
      </c>
      <c r="I235" s="33">
        <f t="shared" si="43"/>
        <v>260</v>
      </c>
      <c r="J235" s="33">
        <f t="shared" si="44"/>
        <v>780</v>
      </c>
      <c r="K235" s="47">
        <v>0.18</v>
      </c>
      <c r="L235" s="40">
        <f t="shared" si="45"/>
        <v>1.4040000000000001</v>
      </c>
      <c r="M235" s="40">
        <f t="shared" si="46"/>
        <v>781.404</v>
      </c>
    </row>
    <row r="236" spans="1:13" ht="24" customHeight="1" x14ac:dyDescent="0.3">
      <c r="A236" s="16">
        <v>224</v>
      </c>
      <c r="B236" s="16" t="s">
        <v>198</v>
      </c>
      <c r="C236" s="14" t="s">
        <v>40</v>
      </c>
      <c r="D236" s="14"/>
      <c r="E236" s="14">
        <v>1</v>
      </c>
      <c r="F236" s="28">
        <v>662</v>
      </c>
      <c r="G236" s="33">
        <f t="shared" si="42"/>
        <v>662</v>
      </c>
      <c r="H236" s="37">
        <v>0.4</v>
      </c>
      <c r="I236" s="33">
        <f t="shared" si="43"/>
        <v>264.8</v>
      </c>
      <c r="J236" s="33">
        <f t="shared" si="44"/>
        <v>397.2</v>
      </c>
      <c r="K236" s="47">
        <v>0.18</v>
      </c>
      <c r="L236" s="40">
        <f t="shared" si="45"/>
        <v>0.71495999999999993</v>
      </c>
      <c r="M236" s="40">
        <f t="shared" si="46"/>
        <v>397.91496000000001</v>
      </c>
    </row>
    <row r="237" spans="1:13" ht="24" customHeight="1" x14ac:dyDescent="0.3">
      <c r="A237" s="16">
        <v>225</v>
      </c>
      <c r="B237" s="16" t="s">
        <v>199</v>
      </c>
      <c r="C237" s="14" t="s">
        <v>40</v>
      </c>
      <c r="D237" s="14"/>
      <c r="E237" s="14">
        <v>1</v>
      </c>
      <c r="F237" s="28">
        <v>663</v>
      </c>
      <c r="G237" s="33">
        <f t="shared" si="42"/>
        <v>663</v>
      </c>
      <c r="H237" s="37">
        <v>0.4</v>
      </c>
      <c r="I237" s="33">
        <f t="shared" si="43"/>
        <v>265.2</v>
      </c>
      <c r="J237" s="33">
        <f t="shared" si="44"/>
        <v>397.8</v>
      </c>
      <c r="K237" s="47">
        <v>0.05</v>
      </c>
      <c r="L237" s="40">
        <f t="shared" si="45"/>
        <v>0.19889999999999999</v>
      </c>
      <c r="M237" s="40">
        <f t="shared" si="46"/>
        <v>397.99889999999999</v>
      </c>
    </row>
    <row r="238" spans="1:13" ht="24" customHeight="1" x14ac:dyDescent="0.3">
      <c r="A238" s="16">
        <v>226</v>
      </c>
      <c r="B238" s="16" t="s">
        <v>200</v>
      </c>
      <c r="C238" s="14" t="s">
        <v>40</v>
      </c>
      <c r="D238" s="14"/>
      <c r="E238" s="14">
        <v>1</v>
      </c>
      <c r="F238" s="28">
        <v>347</v>
      </c>
      <c r="G238" s="33">
        <f t="shared" ref="G238:G274" si="47">F238*E238</f>
        <v>347</v>
      </c>
      <c r="H238" s="37">
        <v>0.4</v>
      </c>
      <c r="I238" s="33">
        <f t="shared" si="43"/>
        <v>138.80000000000001</v>
      </c>
      <c r="J238" s="33">
        <f t="shared" si="44"/>
        <v>208.2</v>
      </c>
      <c r="K238" s="47">
        <v>0.05</v>
      </c>
      <c r="L238" s="40">
        <f t="shared" si="45"/>
        <v>0.1041</v>
      </c>
      <c r="M238" s="40">
        <f t="shared" si="46"/>
        <v>208.30409999999998</v>
      </c>
    </row>
    <row r="239" spans="1:13" ht="24" customHeight="1" x14ac:dyDescent="0.3">
      <c r="A239" s="16">
        <v>227</v>
      </c>
      <c r="B239" s="23" t="s">
        <v>267</v>
      </c>
      <c r="C239" s="14" t="s">
        <v>30</v>
      </c>
      <c r="D239" s="14"/>
      <c r="E239" s="14">
        <v>1</v>
      </c>
      <c r="F239" s="28">
        <v>600</v>
      </c>
      <c r="G239" s="33">
        <f t="shared" si="47"/>
        <v>600</v>
      </c>
      <c r="H239" s="37">
        <v>0.25</v>
      </c>
      <c r="I239" s="33">
        <f t="shared" si="43"/>
        <v>150</v>
      </c>
      <c r="J239" s="33">
        <f t="shared" si="44"/>
        <v>450</v>
      </c>
      <c r="K239" s="47">
        <v>0.18</v>
      </c>
      <c r="L239" s="40">
        <f t="shared" si="45"/>
        <v>0.81</v>
      </c>
      <c r="M239" s="40">
        <f t="shared" si="46"/>
        <v>450.81</v>
      </c>
    </row>
    <row r="240" spans="1:13" ht="24" customHeight="1" x14ac:dyDescent="0.3">
      <c r="A240" s="16">
        <v>228</v>
      </c>
      <c r="B240" s="16" t="s">
        <v>201</v>
      </c>
      <c r="C240" s="14" t="s">
        <v>227</v>
      </c>
      <c r="D240" s="14"/>
      <c r="E240" s="14">
        <v>1</v>
      </c>
      <c r="F240" s="28">
        <v>950</v>
      </c>
      <c r="G240" s="33">
        <f t="shared" si="47"/>
        <v>950</v>
      </c>
      <c r="H240" s="37">
        <v>0.4</v>
      </c>
      <c r="I240" s="33">
        <f t="shared" si="43"/>
        <v>380</v>
      </c>
      <c r="J240" s="33">
        <f t="shared" si="44"/>
        <v>570</v>
      </c>
      <c r="K240" s="47">
        <v>0.18</v>
      </c>
      <c r="L240" s="40">
        <f t="shared" si="45"/>
        <v>1.026</v>
      </c>
      <c r="M240" s="40">
        <f t="shared" si="46"/>
        <v>571.02599999999995</v>
      </c>
    </row>
    <row r="241" spans="1:13" ht="24" customHeight="1" x14ac:dyDescent="0.3">
      <c r="A241" s="16">
        <v>229</v>
      </c>
      <c r="B241" s="16" t="s">
        <v>202</v>
      </c>
      <c r="C241" s="14" t="s">
        <v>227</v>
      </c>
      <c r="D241" s="14"/>
      <c r="E241" s="14">
        <v>3</v>
      </c>
      <c r="F241" s="28">
        <v>171</v>
      </c>
      <c r="G241" s="33">
        <f t="shared" si="47"/>
        <v>513</v>
      </c>
      <c r="H241" s="37">
        <v>0.4</v>
      </c>
      <c r="I241" s="33">
        <f t="shared" si="43"/>
        <v>205.20000000000002</v>
      </c>
      <c r="J241" s="33">
        <f t="shared" si="44"/>
        <v>307.79999999999995</v>
      </c>
      <c r="K241" s="47">
        <v>0.18</v>
      </c>
      <c r="L241" s="40">
        <f t="shared" si="45"/>
        <v>0.55403999999999987</v>
      </c>
      <c r="M241" s="40">
        <f t="shared" si="46"/>
        <v>308.35403999999994</v>
      </c>
    </row>
    <row r="242" spans="1:13" ht="24" customHeight="1" x14ac:dyDescent="0.3">
      <c r="A242" s="16">
        <v>230</v>
      </c>
      <c r="B242" s="16" t="s">
        <v>203</v>
      </c>
      <c r="C242" s="14" t="s">
        <v>227</v>
      </c>
      <c r="D242" s="14"/>
      <c r="E242" s="14">
        <v>1</v>
      </c>
      <c r="F242" s="28">
        <v>725</v>
      </c>
      <c r="G242" s="33">
        <f t="shared" si="47"/>
        <v>725</v>
      </c>
      <c r="H242" s="37">
        <v>0.4</v>
      </c>
      <c r="I242" s="33">
        <f t="shared" si="43"/>
        <v>290</v>
      </c>
      <c r="J242" s="33">
        <f t="shared" si="44"/>
        <v>435</v>
      </c>
      <c r="K242" s="47">
        <v>0.18</v>
      </c>
      <c r="L242" s="40">
        <f t="shared" si="45"/>
        <v>0.78299999999999992</v>
      </c>
      <c r="M242" s="40">
        <f t="shared" si="46"/>
        <v>435.78300000000002</v>
      </c>
    </row>
    <row r="243" spans="1:13" ht="24" customHeight="1" x14ac:dyDescent="0.3">
      <c r="A243" s="16">
        <v>231</v>
      </c>
      <c r="B243" s="16" t="s">
        <v>204</v>
      </c>
      <c r="C243" s="14" t="s">
        <v>30</v>
      </c>
      <c r="D243" s="14"/>
      <c r="E243" s="14">
        <v>1</v>
      </c>
      <c r="F243" s="28">
        <v>1010</v>
      </c>
      <c r="G243" s="33">
        <f t="shared" si="47"/>
        <v>1010</v>
      </c>
      <c r="H243" s="37">
        <v>0.25</v>
      </c>
      <c r="I243" s="33">
        <f t="shared" si="43"/>
        <v>252.5</v>
      </c>
      <c r="J243" s="33">
        <f t="shared" si="44"/>
        <v>757.5</v>
      </c>
      <c r="K243" s="47">
        <v>0.18</v>
      </c>
      <c r="L243" s="40">
        <f t="shared" si="45"/>
        <v>1.3634999999999999</v>
      </c>
      <c r="M243" s="40">
        <f t="shared" si="46"/>
        <v>758.86350000000004</v>
      </c>
    </row>
    <row r="244" spans="1:13" ht="24" customHeight="1" x14ac:dyDescent="0.3">
      <c r="A244" s="16">
        <v>232</v>
      </c>
      <c r="B244" s="53" t="s">
        <v>266</v>
      </c>
      <c r="C244" s="14" t="s">
        <v>236</v>
      </c>
      <c r="D244" s="14"/>
      <c r="E244" s="14">
        <v>1</v>
      </c>
      <c r="F244" s="28">
        <v>3400</v>
      </c>
      <c r="G244" s="33">
        <f t="shared" si="47"/>
        <v>3400</v>
      </c>
      <c r="H244" s="37">
        <v>0</v>
      </c>
      <c r="I244" s="33">
        <f t="shared" si="43"/>
        <v>0</v>
      </c>
      <c r="J244" s="33">
        <f t="shared" si="44"/>
        <v>3400</v>
      </c>
      <c r="K244" s="47">
        <v>0.18</v>
      </c>
      <c r="L244" s="40">
        <f t="shared" si="45"/>
        <v>6.12</v>
      </c>
      <c r="M244" s="40">
        <f t="shared" si="46"/>
        <v>3406.12</v>
      </c>
    </row>
    <row r="245" spans="1:13" ht="24" customHeight="1" x14ac:dyDescent="0.3">
      <c r="A245" s="16">
        <v>233</v>
      </c>
      <c r="B245" s="16" t="s">
        <v>205</v>
      </c>
      <c r="C245" s="14" t="s">
        <v>227</v>
      </c>
      <c r="D245" s="14"/>
      <c r="E245" s="14">
        <v>1</v>
      </c>
      <c r="F245" s="28">
        <v>585</v>
      </c>
      <c r="G245" s="33">
        <f t="shared" si="47"/>
        <v>585</v>
      </c>
      <c r="H245" s="37">
        <v>0.4</v>
      </c>
      <c r="I245" s="33">
        <f t="shared" si="43"/>
        <v>234</v>
      </c>
      <c r="J245" s="33">
        <f t="shared" si="44"/>
        <v>351</v>
      </c>
      <c r="K245" s="47">
        <v>0.18</v>
      </c>
      <c r="L245" s="40">
        <f t="shared" si="45"/>
        <v>0.63180000000000003</v>
      </c>
      <c r="M245" s="40">
        <f t="shared" si="46"/>
        <v>351.6318</v>
      </c>
    </row>
    <row r="246" spans="1:13" ht="24" customHeight="1" x14ac:dyDescent="0.3">
      <c r="A246" s="16">
        <v>234</v>
      </c>
      <c r="B246" s="16" t="s">
        <v>206</v>
      </c>
      <c r="C246" s="14" t="s">
        <v>40</v>
      </c>
      <c r="D246" s="14"/>
      <c r="E246" s="14">
        <v>1</v>
      </c>
      <c r="F246" s="28">
        <v>394</v>
      </c>
      <c r="G246" s="33">
        <f t="shared" si="47"/>
        <v>394</v>
      </c>
      <c r="H246" s="37">
        <v>0.4</v>
      </c>
      <c r="I246" s="33">
        <f t="shared" si="43"/>
        <v>157.60000000000002</v>
      </c>
      <c r="J246" s="33">
        <f t="shared" si="44"/>
        <v>236.39999999999998</v>
      </c>
      <c r="K246" s="47">
        <v>0.05</v>
      </c>
      <c r="L246" s="40">
        <f t="shared" si="45"/>
        <v>0.1182</v>
      </c>
      <c r="M246" s="40">
        <f t="shared" si="46"/>
        <v>236.51819999999998</v>
      </c>
    </row>
    <row r="247" spans="1:13" ht="24" customHeight="1" x14ac:dyDescent="0.3">
      <c r="A247" s="16">
        <v>235</v>
      </c>
      <c r="B247" s="16" t="s">
        <v>207</v>
      </c>
      <c r="C247" s="14" t="s">
        <v>31</v>
      </c>
      <c r="D247" s="14"/>
      <c r="E247" s="14">
        <v>1</v>
      </c>
      <c r="F247" s="28">
        <v>670</v>
      </c>
      <c r="G247" s="33">
        <f t="shared" si="47"/>
        <v>670</v>
      </c>
      <c r="H247" s="37">
        <v>0.4</v>
      </c>
      <c r="I247" s="33">
        <f t="shared" si="43"/>
        <v>268</v>
      </c>
      <c r="J247" s="33">
        <f t="shared" si="44"/>
        <v>402</v>
      </c>
      <c r="K247" s="47">
        <v>0.05</v>
      </c>
      <c r="L247" s="40">
        <f t="shared" si="45"/>
        <v>0.20100000000000001</v>
      </c>
      <c r="M247" s="40">
        <f t="shared" si="46"/>
        <v>402.20100000000002</v>
      </c>
    </row>
    <row r="248" spans="1:13" ht="24" customHeight="1" x14ac:dyDescent="0.3">
      <c r="A248" s="16">
        <v>236</v>
      </c>
      <c r="B248" s="16" t="s">
        <v>208</v>
      </c>
      <c r="C248" s="14" t="s">
        <v>227</v>
      </c>
      <c r="D248" s="14"/>
      <c r="E248" s="14">
        <v>3</v>
      </c>
      <c r="F248" s="28">
        <v>630</v>
      </c>
      <c r="G248" s="33">
        <f t="shared" si="47"/>
        <v>1890</v>
      </c>
      <c r="H248" s="37">
        <v>0.4</v>
      </c>
      <c r="I248" s="33">
        <f t="shared" si="43"/>
        <v>756</v>
      </c>
      <c r="J248" s="33">
        <f t="shared" si="44"/>
        <v>1134</v>
      </c>
      <c r="K248" s="47">
        <v>0.18</v>
      </c>
      <c r="L248" s="40">
        <f t="shared" si="45"/>
        <v>2.0411999999999999</v>
      </c>
      <c r="M248" s="40">
        <f t="shared" si="46"/>
        <v>1136.0411999999999</v>
      </c>
    </row>
    <row r="249" spans="1:13" ht="24" customHeight="1" x14ac:dyDescent="0.3">
      <c r="A249" s="16">
        <v>237</v>
      </c>
      <c r="B249" s="16" t="s">
        <v>209</v>
      </c>
      <c r="C249" s="14" t="s">
        <v>31</v>
      </c>
      <c r="D249" s="14"/>
      <c r="E249" s="14">
        <v>1</v>
      </c>
      <c r="F249" s="28">
        <v>920</v>
      </c>
      <c r="G249" s="33">
        <f t="shared" si="47"/>
        <v>920</v>
      </c>
      <c r="H249" s="37">
        <v>0.4</v>
      </c>
      <c r="I249" s="33">
        <f t="shared" si="43"/>
        <v>368</v>
      </c>
      <c r="J249" s="33">
        <f t="shared" si="44"/>
        <v>552</v>
      </c>
      <c r="K249" s="47">
        <v>0.05</v>
      </c>
      <c r="L249" s="40">
        <f t="shared" si="45"/>
        <v>0.27600000000000002</v>
      </c>
      <c r="M249" s="40">
        <f t="shared" si="46"/>
        <v>552.27599999999995</v>
      </c>
    </row>
    <row r="250" spans="1:13" ht="24" customHeight="1" x14ac:dyDescent="0.3">
      <c r="A250" s="16">
        <v>238</v>
      </c>
      <c r="B250" s="16" t="s">
        <v>210</v>
      </c>
      <c r="C250" s="14" t="s">
        <v>40</v>
      </c>
      <c r="D250" s="14"/>
      <c r="E250" s="14">
        <v>1</v>
      </c>
      <c r="F250" s="28">
        <v>893</v>
      </c>
      <c r="G250" s="33">
        <f t="shared" si="47"/>
        <v>893</v>
      </c>
      <c r="H250" s="37">
        <v>0.4</v>
      </c>
      <c r="I250" s="33">
        <f t="shared" si="43"/>
        <v>357.20000000000005</v>
      </c>
      <c r="J250" s="33">
        <f t="shared" si="44"/>
        <v>535.79999999999995</v>
      </c>
      <c r="K250" s="47">
        <v>0.18</v>
      </c>
      <c r="L250" s="40">
        <f t="shared" si="45"/>
        <v>0.96443999999999985</v>
      </c>
      <c r="M250" s="40">
        <f t="shared" si="46"/>
        <v>536.76443999999992</v>
      </c>
    </row>
    <row r="251" spans="1:13" ht="24" customHeight="1" x14ac:dyDescent="0.3">
      <c r="A251" s="16">
        <v>239</v>
      </c>
      <c r="B251" s="16" t="s">
        <v>211</v>
      </c>
      <c r="C251" s="14" t="s">
        <v>40</v>
      </c>
      <c r="D251" s="14"/>
      <c r="E251" s="14">
        <v>1</v>
      </c>
      <c r="F251" s="28">
        <v>460</v>
      </c>
      <c r="G251" s="33">
        <f t="shared" si="47"/>
        <v>460</v>
      </c>
      <c r="H251" s="37">
        <v>0.4</v>
      </c>
      <c r="I251" s="33">
        <f t="shared" si="43"/>
        <v>184</v>
      </c>
      <c r="J251" s="33">
        <f t="shared" si="44"/>
        <v>276</v>
      </c>
      <c r="K251" s="47">
        <v>0.18</v>
      </c>
      <c r="L251" s="40">
        <f t="shared" si="45"/>
        <v>0.49680000000000002</v>
      </c>
      <c r="M251" s="40">
        <f t="shared" si="46"/>
        <v>276.49680000000001</v>
      </c>
    </row>
    <row r="252" spans="1:13" ht="24" customHeight="1" x14ac:dyDescent="0.3">
      <c r="A252" s="16">
        <v>240</v>
      </c>
      <c r="B252" s="16" t="s">
        <v>212</v>
      </c>
      <c r="C252" s="14" t="s">
        <v>31</v>
      </c>
      <c r="D252" s="14"/>
      <c r="E252" s="14">
        <v>1</v>
      </c>
      <c r="F252" s="28">
        <v>920</v>
      </c>
      <c r="G252" s="33">
        <f t="shared" si="47"/>
        <v>920</v>
      </c>
      <c r="H252" s="37">
        <v>0.4</v>
      </c>
      <c r="I252" s="33">
        <f t="shared" si="43"/>
        <v>368</v>
      </c>
      <c r="J252" s="33">
        <f t="shared" si="44"/>
        <v>552</v>
      </c>
      <c r="K252" s="47">
        <v>0.18</v>
      </c>
      <c r="L252" s="40">
        <f t="shared" si="45"/>
        <v>0.99360000000000004</v>
      </c>
      <c r="M252" s="40">
        <f t="shared" si="46"/>
        <v>552.99360000000001</v>
      </c>
    </row>
    <row r="253" spans="1:13" ht="24" customHeight="1" x14ac:dyDescent="0.3">
      <c r="A253" s="16">
        <v>241</v>
      </c>
      <c r="B253" s="16" t="s">
        <v>213</v>
      </c>
      <c r="C253" s="14" t="s">
        <v>31</v>
      </c>
      <c r="D253" s="14"/>
      <c r="E253" s="14">
        <v>1</v>
      </c>
      <c r="F253" s="28">
        <v>980</v>
      </c>
      <c r="G253" s="33">
        <f t="shared" si="47"/>
        <v>980</v>
      </c>
      <c r="H253" s="37">
        <v>0.4</v>
      </c>
      <c r="I253" s="33">
        <f t="shared" si="43"/>
        <v>392</v>
      </c>
      <c r="J253" s="33">
        <f t="shared" si="44"/>
        <v>588</v>
      </c>
      <c r="K253" s="47">
        <v>0.18</v>
      </c>
      <c r="L253" s="40">
        <f t="shared" si="45"/>
        <v>1.0583999999999998</v>
      </c>
      <c r="M253" s="40">
        <f t="shared" si="46"/>
        <v>589.05840000000001</v>
      </c>
    </row>
    <row r="254" spans="1:13" ht="24" customHeight="1" x14ac:dyDescent="0.3">
      <c r="A254" s="16">
        <v>242</v>
      </c>
      <c r="B254" s="16" t="s">
        <v>214</v>
      </c>
      <c r="C254" s="14" t="s">
        <v>227</v>
      </c>
      <c r="D254" s="14"/>
      <c r="E254" s="14">
        <v>1</v>
      </c>
      <c r="F254" s="28">
        <v>500</v>
      </c>
      <c r="G254" s="33">
        <f t="shared" si="47"/>
        <v>500</v>
      </c>
      <c r="H254" s="37">
        <v>0.4</v>
      </c>
      <c r="I254" s="33">
        <f t="shared" si="43"/>
        <v>200</v>
      </c>
      <c r="J254" s="33">
        <f t="shared" si="44"/>
        <v>300</v>
      </c>
      <c r="K254" s="47">
        <v>0.18</v>
      </c>
      <c r="L254" s="40">
        <f t="shared" si="45"/>
        <v>0.54</v>
      </c>
      <c r="M254" s="40">
        <f t="shared" si="46"/>
        <v>300.54000000000002</v>
      </c>
    </row>
    <row r="255" spans="1:13" ht="24" customHeight="1" x14ac:dyDescent="0.3">
      <c r="A255" s="16">
        <v>243</v>
      </c>
      <c r="B255" s="16" t="s">
        <v>215</v>
      </c>
      <c r="C255" s="14" t="s">
        <v>227</v>
      </c>
      <c r="D255" s="14"/>
      <c r="E255" s="14">
        <v>1</v>
      </c>
      <c r="F255" s="28">
        <v>1962</v>
      </c>
      <c r="G255" s="33">
        <f t="shared" si="47"/>
        <v>1962</v>
      </c>
      <c r="H255" s="37">
        <v>0.4</v>
      </c>
      <c r="I255" s="33">
        <f t="shared" si="43"/>
        <v>784.80000000000007</v>
      </c>
      <c r="J255" s="33">
        <f t="shared" si="44"/>
        <v>1177.1999999999998</v>
      </c>
      <c r="K255" s="47">
        <v>0.18</v>
      </c>
      <c r="L255" s="40">
        <f t="shared" si="45"/>
        <v>2.1189599999999995</v>
      </c>
      <c r="M255" s="40">
        <f t="shared" si="46"/>
        <v>1179.3189599999998</v>
      </c>
    </row>
    <row r="256" spans="1:13" ht="24" customHeight="1" x14ac:dyDescent="0.3">
      <c r="A256" s="16">
        <v>244</v>
      </c>
      <c r="B256" s="16" t="s">
        <v>216</v>
      </c>
      <c r="C256" s="14" t="s">
        <v>227</v>
      </c>
      <c r="D256" s="14"/>
      <c r="E256" s="14">
        <v>1</v>
      </c>
      <c r="F256" s="28">
        <v>486</v>
      </c>
      <c r="G256" s="33">
        <f t="shared" si="47"/>
        <v>486</v>
      </c>
      <c r="H256" s="37">
        <v>0.4</v>
      </c>
      <c r="I256" s="33">
        <f t="shared" si="43"/>
        <v>194.4</v>
      </c>
      <c r="J256" s="33">
        <f t="shared" si="44"/>
        <v>291.60000000000002</v>
      </c>
      <c r="K256" s="47">
        <v>0.18</v>
      </c>
      <c r="L256" s="40">
        <f t="shared" si="45"/>
        <v>0.52488000000000001</v>
      </c>
      <c r="M256" s="40">
        <f t="shared" si="46"/>
        <v>292.12488000000002</v>
      </c>
    </row>
    <row r="257" spans="1:13" ht="24" customHeight="1" x14ac:dyDescent="0.3">
      <c r="A257" s="16">
        <v>245</v>
      </c>
      <c r="B257" s="16" t="s">
        <v>217</v>
      </c>
      <c r="C257" s="14" t="s">
        <v>31</v>
      </c>
      <c r="D257" s="14"/>
      <c r="E257" s="14">
        <v>3</v>
      </c>
      <c r="F257" s="28">
        <v>1080</v>
      </c>
      <c r="G257" s="33">
        <f t="shared" si="47"/>
        <v>3240</v>
      </c>
      <c r="H257" s="37">
        <v>0.4</v>
      </c>
      <c r="I257" s="33">
        <f t="shared" si="43"/>
        <v>1296</v>
      </c>
      <c r="J257" s="33">
        <f t="shared" si="44"/>
        <v>1944</v>
      </c>
      <c r="K257" s="47">
        <v>0.05</v>
      </c>
      <c r="L257" s="40">
        <f t="shared" si="45"/>
        <v>0.97199999999999998</v>
      </c>
      <c r="M257" s="40">
        <f t="shared" si="46"/>
        <v>1944.972</v>
      </c>
    </row>
    <row r="258" spans="1:13" ht="24" customHeight="1" x14ac:dyDescent="0.3">
      <c r="A258" s="16">
        <v>246</v>
      </c>
      <c r="B258" s="16" t="s">
        <v>217</v>
      </c>
      <c r="C258" s="14" t="s">
        <v>31</v>
      </c>
      <c r="D258" s="14"/>
      <c r="E258" s="14">
        <v>1</v>
      </c>
      <c r="F258" s="28">
        <v>1080</v>
      </c>
      <c r="G258" s="33">
        <f t="shared" si="47"/>
        <v>1080</v>
      </c>
      <c r="H258" s="37">
        <v>0.4</v>
      </c>
      <c r="I258" s="33">
        <f t="shared" si="43"/>
        <v>432</v>
      </c>
      <c r="J258" s="33">
        <f t="shared" si="44"/>
        <v>648</v>
      </c>
      <c r="K258" s="47">
        <v>0.05</v>
      </c>
      <c r="L258" s="40">
        <f t="shared" si="45"/>
        <v>0.32400000000000001</v>
      </c>
      <c r="M258" s="40">
        <f t="shared" si="46"/>
        <v>648.32399999999996</v>
      </c>
    </row>
    <row r="259" spans="1:13" ht="24" customHeight="1" x14ac:dyDescent="0.3">
      <c r="A259" s="16">
        <v>247</v>
      </c>
      <c r="B259" s="16" t="s">
        <v>218</v>
      </c>
      <c r="C259" s="14" t="s">
        <v>31</v>
      </c>
      <c r="D259" s="14"/>
      <c r="E259" s="14">
        <v>1</v>
      </c>
      <c r="F259" s="28">
        <v>580</v>
      </c>
      <c r="G259" s="33">
        <f t="shared" si="47"/>
        <v>580</v>
      </c>
      <c r="H259" s="37">
        <v>0.4</v>
      </c>
      <c r="I259" s="33">
        <f t="shared" si="43"/>
        <v>232</v>
      </c>
      <c r="J259" s="33">
        <f t="shared" si="44"/>
        <v>348</v>
      </c>
      <c r="K259" s="47">
        <v>0.18</v>
      </c>
      <c r="L259" s="40">
        <f t="shared" si="45"/>
        <v>0.62639999999999996</v>
      </c>
      <c r="M259" s="40">
        <f t="shared" si="46"/>
        <v>348.62639999999999</v>
      </c>
    </row>
    <row r="260" spans="1:13" ht="24" customHeight="1" x14ac:dyDescent="0.3">
      <c r="A260" s="16">
        <v>248</v>
      </c>
      <c r="B260" s="16" t="s">
        <v>219</v>
      </c>
      <c r="C260" s="14" t="s">
        <v>31</v>
      </c>
      <c r="D260" s="14"/>
      <c r="E260" s="14">
        <v>1</v>
      </c>
      <c r="F260" s="28">
        <v>1700</v>
      </c>
      <c r="G260" s="33">
        <f t="shared" si="47"/>
        <v>1700</v>
      </c>
      <c r="H260" s="37">
        <v>0.4</v>
      </c>
      <c r="I260" s="33">
        <f t="shared" si="43"/>
        <v>680</v>
      </c>
      <c r="J260" s="33">
        <f t="shared" si="44"/>
        <v>1020</v>
      </c>
      <c r="K260" s="47">
        <v>0.05</v>
      </c>
      <c r="L260" s="40">
        <f t="shared" si="45"/>
        <v>0.51</v>
      </c>
      <c r="M260" s="40">
        <f t="shared" si="46"/>
        <v>1020.51</v>
      </c>
    </row>
    <row r="261" spans="1:13" ht="24" customHeight="1" x14ac:dyDescent="0.3">
      <c r="A261" s="16">
        <v>249</v>
      </c>
      <c r="B261" s="16" t="s">
        <v>220</v>
      </c>
      <c r="C261" s="14" t="s">
        <v>31</v>
      </c>
      <c r="D261" s="14"/>
      <c r="E261" s="14">
        <v>1</v>
      </c>
      <c r="F261" s="28">
        <v>1400</v>
      </c>
      <c r="G261" s="33">
        <f t="shared" si="47"/>
        <v>1400</v>
      </c>
      <c r="H261" s="37">
        <v>0.4</v>
      </c>
      <c r="I261" s="33">
        <f t="shared" si="43"/>
        <v>560</v>
      </c>
      <c r="J261" s="33">
        <f t="shared" si="44"/>
        <v>840</v>
      </c>
      <c r="K261" s="47">
        <v>0.18</v>
      </c>
      <c r="L261" s="40">
        <f t="shared" si="45"/>
        <v>1.5119999999999998</v>
      </c>
      <c r="M261" s="40">
        <f t="shared" si="46"/>
        <v>841.51199999999994</v>
      </c>
    </row>
    <row r="262" spans="1:13" ht="24" customHeight="1" x14ac:dyDescent="0.3">
      <c r="A262" s="16">
        <v>250</v>
      </c>
      <c r="B262" s="16" t="s">
        <v>221</v>
      </c>
      <c r="C262" s="14" t="s">
        <v>31</v>
      </c>
      <c r="D262" s="14"/>
      <c r="E262" s="14">
        <v>1</v>
      </c>
      <c r="F262" s="28">
        <v>1000</v>
      </c>
      <c r="G262" s="33">
        <f t="shared" si="47"/>
        <v>1000</v>
      </c>
      <c r="H262" s="37">
        <v>0.4</v>
      </c>
      <c r="I262" s="33">
        <f t="shared" si="43"/>
        <v>400</v>
      </c>
      <c r="J262" s="33">
        <f t="shared" si="44"/>
        <v>600</v>
      </c>
      <c r="K262" s="47">
        <v>0.05</v>
      </c>
      <c r="L262" s="40">
        <f t="shared" si="45"/>
        <v>0.3</v>
      </c>
      <c r="M262" s="40">
        <f t="shared" si="46"/>
        <v>600.29999999999995</v>
      </c>
    </row>
    <row r="263" spans="1:13" ht="24" customHeight="1" x14ac:dyDescent="0.3">
      <c r="A263" s="16">
        <v>251</v>
      </c>
      <c r="B263" s="16" t="s">
        <v>238</v>
      </c>
      <c r="C263" s="14" t="s">
        <v>227</v>
      </c>
      <c r="D263" s="14"/>
      <c r="E263" s="14">
        <v>1</v>
      </c>
      <c r="F263" s="28">
        <v>2304</v>
      </c>
      <c r="G263" s="33">
        <f t="shared" si="47"/>
        <v>2304</v>
      </c>
      <c r="H263" s="37">
        <v>0.4</v>
      </c>
      <c r="I263" s="33">
        <f t="shared" si="43"/>
        <v>921.6</v>
      </c>
      <c r="J263" s="33">
        <f t="shared" si="44"/>
        <v>1382.4</v>
      </c>
      <c r="K263" s="47">
        <v>0.18</v>
      </c>
      <c r="L263" s="40">
        <f t="shared" si="45"/>
        <v>2.4883199999999999</v>
      </c>
      <c r="M263" s="40">
        <f t="shared" si="46"/>
        <v>1384.88832</v>
      </c>
    </row>
    <row r="264" spans="1:13" ht="24" customHeight="1" x14ac:dyDescent="0.3">
      <c r="A264" s="16">
        <v>252</v>
      </c>
      <c r="B264" s="16" t="s">
        <v>265</v>
      </c>
      <c r="C264" s="14" t="s">
        <v>227</v>
      </c>
      <c r="D264" s="14"/>
      <c r="E264" s="14">
        <v>4</v>
      </c>
      <c r="F264" s="28">
        <v>1270</v>
      </c>
      <c r="G264" s="33">
        <f t="shared" si="47"/>
        <v>5080</v>
      </c>
      <c r="H264" s="37">
        <v>0.4</v>
      </c>
      <c r="I264" s="33">
        <f t="shared" si="43"/>
        <v>2032</v>
      </c>
      <c r="J264" s="33">
        <f t="shared" si="44"/>
        <v>3048</v>
      </c>
      <c r="K264" s="47">
        <v>0.18</v>
      </c>
      <c r="L264" s="40">
        <f t="shared" si="45"/>
        <v>5.4863999999999997</v>
      </c>
      <c r="M264" s="40">
        <f t="shared" si="46"/>
        <v>3053.4863999999998</v>
      </c>
    </row>
    <row r="265" spans="1:13" ht="24" customHeight="1" x14ac:dyDescent="0.3">
      <c r="A265" s="16">
        <v>253</v>
      </c>
      <c r="B265" s="16" t="s">
        <v>287</v>
      </c>
      <c r="C265" s="14" t="s">
        <v>288</v>
      </c>
      <c r="D265" s="14"/>
      <c r="E265" s="14">
        <v>2</v>
      </c>
      <c r="F265" s="28">
        <v>11457</v>
      </c>
      <c r="G265" s="33">
        <f t="shared" si="47"/>
        <v>22914</v>
      </c>
      <c r="H265" s="37">
        <v>0.4</v>
      </c>
      <c r="I265" s="33">
        <f t="shared" si="43"/>
        <v>9165.6</v>
      </c>
      <c r="J265" s="33">
        <f t="shared" si="44"/>
        <v>13748.4</v>
      </c>
      <c r="K265" s="47">
        <v>0.18</v>
      </c>
      <c r="L265" s="40">
        <f t="shared" si="45"/>
        <v>24.747119999999999</v>
      </c>
      <c r="M265" s="40">
        <f t="shared" si="46"/>
        <v>13773.14712</v>
      </c>
    </row>
    <row r="266" spans="1:13" ht="24" customHeight="1" x14ac:dyDescent="0.3">
      <c r="A266" s="16">
        <v>254</v>
      </c>
      <c r="B266" s="16" t="s">
        <v>285</v>
      </c>
      <c r="C266" s="14" t="s">
        <v>286</v>
      </c>
      <c r="D266" s="14"/>
      <c r="E266" s="14">
        <v>1</v>
      </c>
      <c r="F266" s="28">
        <v>1100</v>
      </c>
      <c r="G266" s="33">
        <f t="shared" si="47"/>
        <v>1100</v>
      </c>
      <c r="H266" s="37">
        <v>0.4</v>
      </c>
      <c r="I266" s="33">
        <f t="shared" si="43"/>
        <v>440</v>
      </c>
      <c r="J266" s="33">
        <f t="shared" si="44"/>
        <v>660</v>
      </c>
      <c r="K266" s="47">
        <v>0.18</v>
      </c>
      <c r="L266" s="40">
        <f t="shared" si="45"/>
        <v>1.1879999999999999</v>
      </c>
      <c r="M266" s="40">
        <f t="shared" si="46"/>
        <v>661.18799999999999</v>
      </c>
    </row>
    <row r="267" spans="1:13" ht="24" customHeight="1" x14ac:dyDescent="0.3">
      <c r="A267" s="16">
        <v>255</v>
      </c>
      <c r="B267" s="16" t="s">
        <v>261</v>
      </c>
      <c r="C267" s="14" t="s">
        <v>259</v>
      </c>
      <c r="D267" s="14"/>
      <c r="E267" s="14">
        <v>1</v>
      </c>
      <c r="F267" s="28">
        <v>2600</v>
      </c>
      <c r="G267" s="33">
        <f t="shared" si="47"/>
        <v>2600</v>
      </c>
      <c r="H267" s="37">
        <v>0</v>
      </c>
      <c r="I267" s="33">
        <f t="shared" si="43"/>
        <v>0</v>
      </c>
      <c r="J267" s="33">
        <f t="shared" si="44"/>
        <v>2600</v>
      </c>
      <c r="K267" s="47">
        <v>0.18</v>
      </c>
      <c r="L267" s="40">
        <f t="shared" si="45"/>
        <v>4.68</v>
      </c>
      <c r="M267" s="40">
        <f t="shared" si="46"/>
        <v>2604.6799999999998</v>
      </c>
    </row>
    <row r="268" spans="1:13" ht="24" customHeight="1" x14ac:dyDescent="0.3">
      <c r="A268" s="16">
        <v>256</v>
      </c>
      <c r="B268" s="16" t="s">
        <v>239</v>
      </c>
      <c r="C268" s="14" t="s">
        <v>227</v>
      </c>
      <c r="D268" s="14"/>
      <c r="E268" s="14">
        <v>1</v>
      </c>
      <c r="F268" s="28">
        <v>401</v>
      </c>
      <c r="G268" s="33">
        <f t="shared" si="47"/>
        <v>401</v>
      </c>
      <c r="H268" s="37">
        <v>0.4</v>
      </c>
      <c r="I268" s="33">
        <f t="shared" si="43"/>
        <v>160.4</v>
      </c>
      <c r="J268" s="33">
        <f t="shared" si="44"/>
        <v>240.6</v>
      </c>
      <c r="K268" s="47">
        <v>0.18</v>
      </c>
      <c r="L268" s="40">
        <f t="shared" si="45"/>
        <v>0.43308000000000002</v>
      </c>
      <c r="M268" s="40">
        <f t="shared" si="46"/>
        <v>241.03307999999998</v>
      </c>
    </row>
    <row r="269" spans="1:13" ht="24" customHeight="1" x14ac:dyDescent="0.3">
      <c r="A269" s="16">
        <v>257</v>
      </c>
      <c r="B269" s="16" t="s">
        <v>264</v>
      </c>
      <c r="C269" s="14" t="s">
        <v>227</v>
      </c>
      <c r="D269" s="14"/>
      <c r="E269" s="14">
        <v>1</v>
      </c>
      <c r="F269" s="28">
        <v>360</v>
      </c>
      <c r="G269" s="33">
        <f t="shared" si="47"/>
        <v>360</v>
      </c>
      <c r="H269" s="37">
        <v>0.4</v>
      </c>
      <c r="I269" s="33">
        <f t="shared" si="43"/>
        <v>144</v>
      </c>
      <c r="J269" s="33">
        <f t="shared" si="44"/>
        <v>216</v>
      </c>
      <c r="K269" s="47">
        <v>0.18</v>
      </c>
      <c r="L269" s="40">
        <f t="shared" si="45"/>
        <v>0.38879999999999998</v>
      </c>
      <c r="M269" s="40">
        <f t="shared" si="46"/>
        <v>216.3888</v>
      </c>
    </row>
    <row r="270" spans="1:13" ht="24" customHeight="1" x14ac:dyDescent="0.3">
      <c r="A270" s="16">
        <v>258</v>
      </c>
      <c r="B270" s="18" t="s">
        <v>284</v>
      </c>
      <c r="C270" s="14" t="s">
        <v>259</v>
      </c>
      <c r="D270" s="14"/>
      <c r="E270" s="14">
        <v>2</v>
      </c>
      <c r="F270" s="28">
        <v>160</v>
      </c>
      <c r="G270" s="33">
        <f t="shared" si="47"/>
        <v>320</v>
      </c>
      <c r="H270" s="37">
        <v>0</v>
      </c>
      <c r="I270" s="33">
        <f t="shared" si="43"/>
        <v>0</v>
      </c>
      <c r="J270" s="33">
        <f t="shared" si="44"/>
        <v>320</v>
      </c>
      <c r="K270" s="47">
        <v>0.18</v>
      </c>
      <c r="L270" s="40">
        <f t="shared" si="45"/>
        <v>0.57599999999999996</v>
      </c>
      <c r="M270" s="40">
        <f t="shared" si="46"/>
        <v>320.57600000000002</v>
      </c>
    </row>
    <row r="271" spans="1:13" ht="24" customHeight="1" x14ac:dyDescent="0.3">
      <c r="A271" s="16">
        <v>259</v>
      </c>
      <c r="B271" s="16" t="s">
        <v>263</v>
      </c>
      <c r="C271" s="14" t="s">
        <v>227</v>
      </c>
      <c r="D271" s="14"/>
      <c r="E271" s="14">
        <v>4</v>
      </c>
      <c r="F271" s="28">
        <v>500</v>
      </c>
      <c r="G271" s="33">
        <f t="shared" si="47"/>
        <v>2000</v>
      </c>
      <c r="H271" s="37">
        <v>0.4</v>
      </c>
      <c r="I271" s="33">
        <f t="shared" si="43"/>
        <v>800</v>
      </c>
      <c r="J271" s="33">
        <f t="shared" si="44"/>
        <v>1200</v>
      </c>
      <c r="K271" s="47">
        <v>0.18</v>
      </c>
      <c r="L271" s="40">
        <f t="shared" si="45"/>
        <v>2.16</v>
      </c>
      <c r="M271" s="40">
        <f t="shared" si="46"/>
        <v>1202.1600000000001</v>
      </c>
    </row>
    <row r="272" spans="1:13" ht="24" customHeight="1" x14ac:dyDescent="0.3">
      <c r="A272" s="16">
        <v>260</v>
      </c>
      <c r="B272" s="16" t="s">
        <v>240</v>
      </c>
      <c r="C272" s="14" t="s">
        <v>227</v>
      </c>
      <c r="D272" s="14"/>
      <c r="E272" s="14">
        <v>1</v>
      </c>
      <c r="F272" s="28">
        <v>306</v>
      </c>
      <c r="G272" s="33">
        <f t="shared" si="47"/>
        <v>306</v>
      </c>
      <c r="H272" s="37">
        <v>0.4</v>
      </c>
      <c r="I272" s="33">
        <f t="shared" si="43"/>
        <v>122.4</v>
      </c>
      <c r="J272" s="33">
        <f t="shared" si="44"/>
        <v>183.6</v>
      </c>
      <c r="K272" s="47">
        <v>0.18</v>
      </c>
      <c r="L272" s="40">
        <f t="shared" si="45"/>
        <v>0.33047999999999994</v>
      </c>
      <c r="M272" s="40">
        <f t="shared" si="46"/>
        <v>183.93047999999999</v>
      </c>
    </row>
    <row r="273" spans="1:13" ht="24" customHeight="1" x14ac:dyDescent="0.3">
      <c r="A273" s="16">
        <v>261</v>
      </c>
      <c r="B273" s="16" t="s">
        <v>262</v>
      </c>
      <c r="C273" s="14" t="s">
        <v>227</v>
      </c>
      <c r="D273" s="14"/>
      <c r="E273" s="14">
        <v>4</v>
      </c>
      <c r="F273" s="28">
        <v>351</v>
      </c>
      <c r="G273" s="33">
        <f t="shared" si="47"/>
        <v>1404</v>
      </c>
      <c r="H273" s="37">
        <v>0.4</v>
      </c>
      <c r="I273" s="33">
        <f t="shared" si="43"/>
        <v>561.6</v>
      </c>
      <c r="J273" s="33">
        <f t="shared" si="44"/>
        <v>842.4</v>
      </c>
      <c r="K273" s="47">
        <v>0.18</v>
      </c>
      <c r="L273" s="40">
        <f t="shared" si="45"/>
        <v>1.5163199999999997</v>
      </c>
      <c r="M273" s="40">
        <f t="shared" si="46"/>
        <v>843.91631999999993</v>
      </c>
    </row>
    <row r="274" spans="1:13" ht="24" customHeight="1" x14ac:dyDescent="0.3">
      <c r="A274" s="16">
        <v>262</v>
      </c>
      <c r="B274" s="16" t="s">
        <v>241</v>
      </c>
      <c r="C274" s="14" t="s">
        <v>227</v>
      </c>
      <c r="D274" s="14"/>
      <c r="E274" s="14">
        <v>1</v>
      </c>
      <c r="F274" s="28">
        <v>671</v>
      </c>
      <c r="G274" s="33">
        <f t="shared" si="47"/>
        <v>671</v>
      </c>
      <c r="H274" s="37">
        <v>0.4</v>
      </c>
      <c r="I274" s="33">
        <f t="shared" si="43"/>
        <v>268.40000000000003</v>
      </c>
      <c r="J274" s="33">
        <f t="shared" si="44"/>
        <v>402.59999999999997</v>
      </c>
      <c r="K274" s="47">
        <v>0.18</v>
      </c>
      <c r="L274" s="40">
        <f t="shared" si="45"/>
        <v>0.72467999999999988</v>
      </c>
      <c r="M274" s="40">
        <f t="shared" si="46"/>
        <v>403.32467999999994</v>
      </c>
    </row>
    <row r="275" spans="1:13" ht="24" customHeight="1" x14ac:dyDescent="0.3">
      <c r="A275"/>
      <c r="D275"/>
    </row>
    <row r="276" spans="1:13" ht="24" customHeight="1" x14ac:dyDescent="0.3">
      <c r="A276"/>
      <c r="D276"/>
    </row>
    <row r="277" spans="1:13" ht="24" customHeight="1" x14ac:dyDescent="0.3">
      <c r="A277"/>
      <c r="D277"/>
    </row>
    <row r="278" spans="1:13" ht="24" customHeight="1" x14ac:dyDescent="0.3">
      <c r="A278"/>
      <c r="D278"/>
    </row>
    <row r="279" spans="1:13" ht="24" customHeight="1" x14ac:dyDescent="0.3">
      <c r="A279"/>
      <c r="D279"/>
    </row>
    <row r="280" spans="1:13" ht="24" customHeight="1" x14ac:dyDescent="0.3">
      <c r="A280"/>
      <c r="D280"/>
    </row>
    <row r="281" spans="1:13" ht="24" customHeight="1" x14ac:dyDescent="0.3">
      <c r="A281"/>
      <c r="D281"/>
    </row>
    <row r="282" spans="1:13" ht="24" customHeight="1" x14ac:dyDescent="0.3">
      <c r="A282"/>
      <c r="D282"/>
    </row>
    <row r="283" spans="1:13" ht="40.5" customHeight="1" x14ac:dyDescent="0.3">
      <c r="A283"/>
      <c r="D283"/>
    </row>
    <row r="284" spans="1:13" ht="34.5" customHeight="1" x14ac:dyDescent="0.3">
      <c r="A284"/>
      <c r="D284"/>
    </row>
    <row r="285" spans="1:13" ht="24" customHeight="1" x14ac:dyDescent="0.3">
      <c r="A285"/>
      <c r="D285"/>
    </row>
    <row r="286" spans="1:13" ht="24" customHeight="1" x14ac:dyDescent="0.3">
      <c r="A286"/>
      <c r="D286"/>
    </row>
    <row r="287" spans="1:13" ht="24" customHeight="1" x14ac:dyDescent="0.3">
      <c r="A287"/>
      <c r="D287"/>
    </row>
    <row r="288" spans="1:13" ht="24" customHeight="1" x14ac:dyDescent="0.3">
      <c r="A288"/>
      <c r="D288"/>
    </row>
    <row r="289" spans="1:4" ht="24" customHeight="1" x14ac:dyDescent="0.3">
      <c r="A289"/>
      <c r="D289"/>
    </row>
    <row r="290" spans="1:4" ht="24" customHeight="1" x14ac:dyDescent="0.3">
      <c r="A290"/>
      <c r="D290"/>
    </row>
    <row r="291" spans="1:4" ht="24" customHeight="1" x14ac:dyDescent="0.3">
      <c r="A291"/>
      <c r="D291"/>
    </row>
    <row r="292" spans="1:4" ht="24" customHeight="1" x14ac:dyDescent="0.3">
      <c r="A292"/>
      <c r="D292"/>
    </row>
    <row r="293" spans="1:4" ht="24" customHeight="1" x14ac:dyDescent="0.3">
      <c r="A293"/>
      <c r="D293"/>
    </row>
    <row r="294" spans="1:4" ht="24" customHeight="1" x14ac:dyDescent="0.3">
      <c r="A294"/>
      <c r="D294"/>
    </row>
    <row r="295" spans="1:4" ht="24" customHeight="1" x14ac:dyDescent="0.3">
      <c r="A295"/>
      <c r="D295"/>
    </row>
    <row r="296" spans="1:4" ht="24" customHeight="1" x14ac:dyDescent="0.3">
      <c r="A296"/>
      <c r="D296"/>
    </row>
    <row r="297" spans="1:4" ht="24" customHeight="1" x14ac:dyDescent="0.3">
      <c r="A297"/>
      <c r="D297"/>
    </row>
    <row r="298" spans="1:4" ht="24" customHeight="1" x14ac:dyDescent="0.3">
      <c r="A298"/>
      <c r="D298"/>
    </row>
    <row r="299" spans="1:4" ht="24" customHeight="1" x14ac:dyDescent="0.3">
      <c r="A299"/>
      <c r="D299"/>
    </row>
    <row r="300" spans="1:4" ht="24" customHeight="1" x14ac:dyDescent="0.3">
      <c r="A300"/>
      <c r="D300"/>
    </row>
    <row r="301" spans="1:4" ht="24" customHeight="1" x14ac:dyDescent="0.3">
      <c r="A301"/>
      <c r="D301"/>
    </row>
    <row r="302" spans="1:4" ht="24" customHeight="1" x14ac:dyDescent="0.3">
      <c r="A302"/>
      <c r="D302"/>
    </row>
    <row r="303" spans="1:4" ht="24" customHeight="1" x14ac:dyDescent="0.3">
      <c r="A303"/>
      <c r="D303"/>
    </row>
    <row r="304" spans="1:4" ht="24" customHeight="1" x14ac:dyDescent="0.3">
      <c r="A304"/>
      <c r="D304"/>
    </row>
    <row r="305" spans="1:4" ht="24" customHeight="1" x14ac:dyDescent="0.3">
      <c r="A305"/>
      <c r="D305"/>
    </row>
    <row r="306" spans="1:4" ht="24" customHeight="1" x14ac:dyDescent="0.3">
      <c r="A306"/>
      <c r="D306"/>
    </row>
    <row r="307" spans="1:4" ht="24" customHeight="1" x14ac:dyDescent="0.3">
      <c r="A307"/>
      <c r="D307"/>
    </row>
    <row r="308" spans="1:4" ht="24" customHeight="1" x14ac:dyDescent="0.3">
      <c r="A308"/>
      <c r="D308"/>
    </row>
    <row r="309" spans="1:4" ht="24" customHeight="1" x14ac:dyDescent="0.3">
      <c r="A309"/>
      <c r="D309"/>
    </row>
    <row r="310" spans="1:4" ht="24" customHeight="1" x14ac:dyDescent="0.3">
      <c r="A310"/>
      <c r="D310"/>
    </row>
    <row r="311" spans="1:4" ht="24" customHeight="1" x14ac:dyDescent="0.3">
      <c r="A311"/>
      <c r="D311"/>
    </row>
    <row r="312" spans="1:4" ht="24" customHeight="1" x14ac:dyDescent="0.3">
      <c r="A312"/>
      <c r="D312"/>
    </row>
    <row r="313" spans="1:4" ht="24" customHeight="1" x14ac:dyDescent="0.3">
      <c r="A313"/>
      <c r="D313"/>
    </row>
    <row r="314" spans="1:4" ht="24" customHeight="1" x14ac:dyDescent="0.3">
      <c r="A314"/>
      <c r="D314"/>
    </row>
    <row r="315" spans="1:4" ht="24" customHeight="1" x14ac:dyDescent="0.3">
      <c r="A315"/>
      <c r="D315"/>
    </row>
    <row r="316" spans="1:4" ht="24" customHeight="1" x14ac:dyDescent="0.3">
      <c r="A316"/>
      <c r="D316"/>
    </row>
    <row r="317" spans="1:4" ht="24" customHeight="1" x14ac:dyDescent="0.3">
      <c r="A317"/>
      <c r="D317"/>
    </row>
    <row r="318" spans="1:4" ht="24" customHeight="1" x14ac:dyDescent="0.3">
      <c r="A318"/>
      <c r="D318"/>
    </row>
    <row r="319" spans="1:4" ht="24" customHeight="1" x14ac:dyDescent="0.3">
      <c r="A319"/>
      <c r="D319"/>
    </row>
    <row r="320" spans="1:4" ht="24" customHeight="1" x14ac:dyDescent="0.3">
      <c r="A320"/>
      <c r="D320"/>
    </row>
    <row r="321" spans="1:4" ht="24" customHeight="1" x14ac:dyDescent="0.3">
      <c r="A321"/>
      <c r="D321"/>
    </row>
    <row r="322" spans="1:4" ht="24" customHeight="1" x14ac:dyDescent="0.3">
      <c r="A322"/>
      <c r="D322"/>
    </row>
    <row r="323" spans="1:4" ht="24" customHeight="1" x14ac:dyDescent="0.3">
      <c r="A323"/>
      <c r="D323"/>
    </row>
    <row r="324" spans="1:4" ht="24" customHeight="1" x14ac:dyDescent="0.3">
      <c r="A324"/>
      <c r="D324"/>
    </row>
    <row r="325" spans="1:4" ht="24" customHeight="1" x14ac:dyDescent="0.3">
      <c r="A325"/>
      <c r="D325"/>
    </row>
    <row r="326" spans="1:4" ht="26.4" customHeight="1" x14ac:dyDescent="0.3">
      <c r="A326"/>
      <c r="D326"/>
    </row>
    <row r="327" spans="1:4" ht="25.2" customHeight="1" x14ac:dyDescent="0.3">
      <c r="A327"/>
      <c r="D327"/>
    </row>
    <row r="328" spans="1:4" ht="24" customHeight="1" x14ac:dyDescent="0.3">
      <c r="A328"/>
      <c r="D328"/>
    </row>
    <row r="329" spans="1:4" ht="24" customHeight="1" x14ac:dyDescent="0.3">
      <c r="A329"/>
      <c r="D329"/>
    </row>
    <row r="330" spans="1:4" ht="25.5" customHeight="1" x14ac:dyDescent="0.3">
      <c r="A330"/>
      <c r="D330"/>
    </row>
    <row r="331" spans="1:4" ht="33.75" customHeight="1" x14ac:dyDescent="0.3">
      <c r="A331"/>
      <c r="D331"/>
    </row>
    <row r="332" spans="1:4" ht="30.6" customHeight="1" x14ac:dyDescent="0.3">
      <c r="A332"/>
      <c r="D332"/>
    </row>
    <row r="333" spans="1:4" ht="35.25" customHeight="1" x14ac:dyDescent="0.3">
      <c r="A333"/>
      <c r="D333"/>
    </row>
    <row r="334" spans="1:4" ht="41.25" customHeight="1" x14ac:dyDescent="0.3">
      <c r="A334"/>
      <c r="D334"/>
    </row>
    <row r="335" spans="1:4" ht="34.5" customHeight="1" x14ac:dyDescent="0.3">
      <c r="A335"/>
      <c r="D335"/>
    </row>
    <row r="336" spans="1:4" ht="24" customHeight="1" x14ac:dyDescent="0.3">
      <c r="A336"/>
      <c r="D336"/>
    </row>
    <row r="337" spans="1:4" ht="24" customHeight="1" x14ac:dyDescent="0.3">
      <c r="A337"/>
      <c r="D337"/>
    </row>
    <row r="338" spans="1:4" ht="24" customHeight="1" x14ac:dyDescent="0.3">
      <c r="A338"/>
      <c r="D338"/>
    </row>
    <row r="339" spans="1:4" ht="24" customHeight="1" x14ac:dyDescent="0.3"/>
    <row r="340" spans="1:4" ht="24" customHeight="1" x14ac:dyDescent="0.3"/>
    <row r="341" spans="1:4" ht="24" customHeight="1" x14ac:dyDescent="0.3"/>
    <row r="342" spans="1:4" ht="24" customHeight="1" x14ac:dyDescent="0.3"/>
    <row r="343" spans="1:4" ht="24" customHeight="1" x14ac:dyDescent="0.3"/>
    <row r="344" spans="1:4" ht="24" customHeight="1" x14ac:dyDescent="0.3"/>
    <row r="345" spans="1:4" ht="24" customHeight="1" x14ac:dyDescent="0.3"/>
    <row r="346" spans="1:4" ht="24" customHeight="1" x14ac:dyDescent="0.3"/>
    <row r="347" spans="1:4" ht="24" customHeight="1" x14ac:dyDescent="0.3"/>
    <row r="348" spans="1:4" ht="24" customHeight="1" x14ac:dyDescent="0.3"/>
    <row r="349" spans="1:4" ht="24" customHeight="1" x14ac:dyDescent="0.3"/>
    <row r="350" spans="1:4" ht="24" customHeight="1" x14ac:dyDescent="0.3"/>
    <row r="351" spans="1:4" ht="24" customHeight="1" x14ac:dyDescent="0.3"/>
    <row r="352" spans="1:4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</sheetData>
  <mergeCells count="21">
    <mergeCell ref="D12:E12"/>
    <mergeCell ref="D11:E11"/>
    <mergeCell ref="D10:E10"/>
    <mergeCell ref="K11:L11"/>
    <mergeCell ref="G11:G12"/>
    <mergeCell ref="B9:M9"/>
    <mergeCell ref="A10:A12"/>
    <mergeCell ref="B10:B12"/>
    <mergeCell ref="F10:M10"/>
    <mergeCell ref="A1:A8"/>
    <mergeCell ref="J1:M1"/>
    <mergeCell ref="C1:I1"/>
    <mergeCell ref="B7:D8"/>
    <mergeCell ref="J7:M8"/>
    <mergeCell ref="C6:M6"/>
    <mergeCell ref="E7:I8"/>
    <mergeCell ref="B5:M5"/>
    <mergeCell ref="B4:M4"/>
    <mergeCell ref="B2:M3"/>
    <mergeCell ref="F11:F12"/>
    <mergeCell ref="H11:I11"/>
  </mergeCells>
  <phoneticPr fontId="21" type="noConversion"/>
  <pageMargins left="0.23622047244094491" right="0.35433070866141736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77C7-A40C-49E8-91B7-EB43BB34D701}">
  <dimension ref="A1"/>
  <sheetViews>
    <sheetView workbookViewId="0">
      <selection activeCell="C25" sqref="C25"/>
    </sheetView>
  </sheetViews>
  <sheetFormatPr defaultRowHeight="14.4" x14ac:dyDescent="0.3"/>
  <cols>
    <col min="2" max="2" width="22.33203125" customWidth="1"/>
  </cols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msprabhu</dc:creator>
  <cp:lastModifiedBy>Server</cp:lastModifiedBy>
  <cp:lastPrinted>2025-08-15T15:24:59Z</cp:lastPrinted>
  <dcterms:created xsi:type="dcterms:W3CDTF">2017-03-16T05:19:15Z</dcterms:created>
  <dcterms:modified xsi:type="dcterms:W3CDTF">2026-06-24T12:19:56Z</dcterms:modified>
</cp:coreProperties>
</file>